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coding\ScheduleLib\src\Features\Integration\data\2025_sem2\fr\"/>
    </mc:Choice>
  </mc:AlternateContent>
  <xr:revisionPtr revIDLastSave="0" documentId="13_ncr:1_{510D71C1-4DD3-4C96-9B20-2CEE0845276E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FR_24.11-24.12.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93" i="1" l="1"/>
  <c r="L92" i="1"/>
  <c r="L91" i="1"/>
  <c r="L90" i="1"/>
  <c r="L87" i="1"/>
  <c r="L86" i="1"/>
  <c r="G110" i="1"/>
  <c r="G86" i="1"/>
  <c r="G85" i="1"/>
  <c r="G125" i="1"/>
  <c r="G124" i="1"/>
  <c r="D122" i="1"/>
  <c r="E121" i="1"/>
  <c r="E120" i="1"/>
  <c r="D113" i="1"/>
  <c r="D112" i="1"/>
  <c r="G111" i="1"/>
  <c r="G107" i="1"/>
  <c r="G106" i="1"/>
  <c r="E98" i="1"/>
  <c r="E91" i="1"/>
  <c r="E90" i="1"/>
  <c r="D87" i="1"/>
  <c r="D86" i="1"/>
  <c r="D128" i="1"/>
  <c r="D127" i="1"/>
  <c r="E123" i="1"/>
  <c r="D121" i="1"/>
  <c r="D120" i="1"/>
  <c r="G119" i="1"/>
  <c r="G118" i="1"/>
  <c r="E115" i="1"/>
  <c r="E114" i="1"/>
  <c r="D108" i="1"/>
  <c r="G98" i="1"/>
  <c r="G93" i="1"/>
  <c r="G92" i="1"/>
  <c r="E85" i="1"/>
  <c r="E84" i="1"/>
  <c r="G131" i="1"/>
  <c r="G130" i="1"/>
  <c r="D130" i="1"/>
  <c r="G129" i="1"/>
  <c r="E126" i="1"/>
  <c r="E125" i="1"/>
  <c r="E124" i="1"/>
  <c r="D119" i="1"/>
  <c r="D118" i="1"/>
  <c r="E110" i="1"/>
  <c r="D110" i="1"/>
  <c r="G109" i="1"/>
  <c r="E109" i="1"/>
  <c r="D109" i="1"/>
  <c r="G108" i="1"/>
  <c r="G105" i="1"/>
  <c r="G103" i="1"/>
  <c r="D103" i="1"/>
  <c r="G102" i="1"/>
  <c r="D102" i="1"/>
  <c r="G101" i="1"/>
  <c r="D100" i="1"/>
  <c r="D99" i="1"/>
  <c r="G88" i="1"/>
  <c r="E88" i="1"/>
  <c r="G87" i="1"/>
  <c r="D77" i="1"/>
  <c r="K131" i="1"/>
  <c r="H131" i="1"/>
  <c r="C131" i="1"/>
  <c r="B131" i="1"/>
  <c r="K130" i="1"/>
  <c r="H130" i="1"/>
  <c r="C130" i="1"/>
  <c r="B130" i="1"/>
  <c r="B129" i="1"/>
  <c r="A129" i="1"/>
  <c r="K128" i="1"/>
  <c r="I128" i="1"/>
  <c r="H128" i="1"/>
  <c r="F128" i="1"/>
  <c r="C128" i="1"/>
  <c r="B128" i="1"/>
  <c r="K127" i="1"/>
  <c r="I127" i="1"/>
  <c r="H127" i="1"/>
  <c r="F127" i="1"/>
  <c r="C127" i="1"/>
  <c r="B127" i="1"/>
  <c r="B126" i="1"/>
  <c r="A126" i="1"/>
  <c r="M125" i="1"/>
  <c r="L125" i="1"/>
  <c r="K125" i="1"/>
  <c r="I125" i="1"/>
  <c r="F125" i="1"/>
  <c r="C125" i="1"/>
  <c r="B125" i="1"/>
  <c r="M124" i="1"/>
  <c r="L124" i="1"/>
  <c r="K124" i="1"/>
  <c r="J124" i="1"/>
  <c r="I124" i="1"/>
  <c r="H124" i="1"/>
  <c r="F124" i="1"/>
  <c r="C124" i="1"/>
  <c r="B124" i="1"/>
  <c r="K123" i="1"/>
  <c r="J123" i="1"/>
  <c r="I123" i="1"/>
  <c r="H123" i="1"/>
  <c r="F123" i="1"/>
  <c r="B123" i="1"/>
  <c r="A123" i="1"/>
  <c r="K122" i="1"/>
  <c r="I122" i="1"/>
  <c r="B122" i="1"/>
  <c r="K121" i="1"/>
  <c r="I121" i="1"/>
  <c r="G121" i="1"/>
  <c r="B121" i="1"/>
  <c r="K120" i="1"/>
  <c r="I120" i="1"/>
  <c r="H120" i="1"/>
  <c r="G120" i="1"/>
  <c r="B120" i="1"/>
  <c r="K119" i="1"/>
  <c r="I119" i="1"/>
  <c r="H119" i="1"/>
  <c r="E119" i="1"/>
  <c r="B119" i="1"/>
  <c r="I118" i="1"/>
  <c r="H118" i="1"/>
  <c r="E118" i="1"/>
  <c r="B118" i="1"/>
  <c r="I117" i="1"/>
  <c r="H117" i="1"/>
  <c r="B117" i="1"/>
  <c r="A117" i="1"/>
  <c r="L116" i="1"/>
  <c r="K116" i="1"/>
  <c r="H116" i="1"/>
  <c r="B116" i="1"/>
  <c r="M115" i="1"/>
  <c r="L115" i="1"/>
  <c r="K115" i="1"/>
  <c r="H115" i="1"/>
  <c r="G115" i="1"/>
  <c r="F115" i="1"/>
  <c r="B115" i="1"/>
  <c r="M114" i="1"/>
  <c r="L114" i="1"/>
  <c r="K114" i="1"/>
  <c r="I114" i="1"/>
  <c r="H114" i="1"/>
  <c r="G114" i="1"/>
  <c r="F114" i="1"/>
  <c r="B114" i="1"/>
  <c r="L113" i="1"/>
  <c r="K113" i="1"/>
  <c r="J113" i="1"/>
  <c r="I113" i="1"/>
  <c r="H113" i="1"/>
  <c r="G113" i="1"/>
  <c r="C113" i="1"/>
  <c r="B113" i="1"/>
  <c r="L112" i="1"/>
  <c r="K112" i="1"/>
  <c r="J112" i="1"/>
  <c r="I112" i="1"/>
  <c r="H112" i="1"/>
  <c r="G112" i="1"/>
  <c r="C112" i="1"/>
  <c r="B112" i="1"/>
  <c r="K111" i="1"/>
  <c r="I111" i="1"/>
  <c r="H111" i="1"/>
  <c r="B111" i="1"/>
  <c r="A111" i="1"/>
  <c r="O110" i="1"/>
  <c r="L110" i="1"/>
  <c r="K110" i="1"/>
  <c r="I110" i="1"/>
  <c r="H110" i="1"/>
  <c r="F110" i="1"/>
  <c r="C110" i="1"/>
  <c r="B110" i="1"/>
  <c r="O109" i="1"/>
  <c r="L109" i="1"/>
  <c r="K109" i="1"/>
  <c r="I109" i="1"/>
  <c r="H109" i="1"/>
  <c r="C109" i="1"/>
  <c r="B109" i="1"/>
  <c r="I108" i="1"/>
  <c r="E108" i="1"/>
  <c r="B108" i="1"/>
  <c r="A108" i="1"/>
  <c r="N107" i="1"/>
  <c r="K107" i="1"/>
  <c r="J107" i="1"/>
  <c r="I107" i="1"/>
  <c r="H107" i="1"/>
  <c r="F107" i="1"/>
  <c r="E107" i="1"/>
  <c r="D107" i="1"/>
  <c r="C107" i="1"/>
  <c r="B107" i="1"/>
  <c r="N106" i="1"/>
  <c r="K106" i="1"/>
  <c r="J106" i="1"/>
  <c r="I106" i="1"/>
  <c r="H106" i="1"/>
  <c r="F106" i="1"/>
  <c r="E106" i="1"/>
  <c r="D106" i="1"/>
  <c r="C106" i="1"/>
  <c r="B106" i="1"/>
  <c r="F105" i="1"/>
  <c r="E105" i="1"/>
  <c r="D105" i="1"/>
  <c r="B105" i="1"/>
  <c r="B104" i="1"/>
  <c r="A104" i="1"/>
  <c r="N103" i="1"/>
  <c r="M103" i="1"/>
  <c r="L103" i="1"/>
  <c r="K103" i="1"/>
  <c r="I103" i="1"/>
  <c r="H103" i="1"/>
  <c r="C103" i="1"/>
  <c r="B103" i="1"/>
  <c r="O102" i="1"/>
  <c r="M102" i="1"/>
  <c r="K102" i="1"/>
  <c r="I102" i="1"/>
  <c r="H102" i="1"/>
  <c r="C102" i="1"/>
  <c r="B102" i="1"/>
  <c r="B101" i="1"/>
  <c r="A101" i="1"/>
  <c r="O100" i="1"/>
  <c r="M100" i="1"/>
  <c r="L100" i="1"/>
  <c r="K100" i="1"/>
  <c r="J100" i="1"/>
  <c r="I100" i="1"/>
  <c r="H100" i="1"/>
  <c r="G100" i="1"/>
  <c r="F100" i="1"/>
  <c r="E100" i="1"/>
  <c r="C100" i="1"/>
  <c r="B100" i="1"/>
  <c r="O99" i="1"/>
  <c r="M99" i="1"/>
  <c r="L99" i="1"/>
  <c r="K99" i="1"/>
  <c r="J99" i="1"/>
  <c r="I99" i="1"/>
  <c r="H99" i="1"/>
  <c r="G99" i="1"/>
  <c r="F99" i="1"/>
  <c r="E99" i="1"/>
  <c r="C99" i="1"/>
  <c r="B99" i="1"/>
  <c r="L98" i="1"/>
  <c r="K98" i="1"/>
  <c r="D98" i="1"/>
  <c r="B98" i="1"/>
  <c r="A98" i="1"/>
  <c r="N97" i="1"/>
  <c r="M97" i="1"/>
  <c r="K97" i="1"/>
  <c r="I97" i="1"/>
  <c r="H97" i="1"/>
  <c r="G97" i="1"/>
  <c r="F97" i="1"/>
  <c r="E97" i="1"/>
  <c r="D97" i="1"/>
  <c r="C97" i="1"/>
  <c r="B97" i="1"/>
  <c r="N96" i="1"/>
  <c r="M96" i="1"/>
  <c r="K96" i="1"/>
  <c r="J96" i="1"/>
  <c r="I96" i="1"/>
  <c r="H96" i="1"/>
  <c r="G96" i="1"/>
  <c r="F96" i="1"/>
  <c r="E96" i="1"/>
  <c r="D96" i="1"/>
  <c r="C96" i="1"/>
  <c r="B96" i="1"/>
  <c r="K95" i="1"/>
  <c r="J95" i="1"/>
  <c r="E95" i="1"/>
  <c r="D95" i="1"/>
  <c r="B95" i="1"/>
  <c r="A95" i="1"/>
  <c r="I94" i="1"/>
  <c r="H94" i="1"/>
  <c r="B94" i="1"/>
  <c r="I93" i="1"/>
  <c r="H93" i="1"/>
  <c r="D93" i="1"/>
  <c r="B93" i="1"/>
  <c r="K92" i="1"/>
  <c r="I92" i="1"/>
  <c r="H92" i="1"/>
  <c r="D92" i="1"/>
  <c r="B92" i="1"/>
  <c r="K91" i="1"/>
  <c r="I91" i="1"/>
  <c r="H91" i="1"/>
  <c r="D91" i="1"/>
  <c r="B91" i="1"/>
  <c r="K90" i="1"/>
  <c r="J90" i="1"/>
  <c r="I90" i="1"/>
  <c r="H90" i="1"/>
  <c r="D90" i="1"/>
  <c r="B90" i="1"/>
  <c r="K89" i="1"/>
  <c r="J89" i="1"/>
  <c r="I89" i="1"/>
  <c r="H89" i="1"/>
  <c r="B89" i="1"/>
  <c r="A89" i="1"/>
  <c r="L88" i="1"/>
  <c r="J88" i="1"/>
  <c r="I88" i="1"/>
  <c r="H88" i="1"/>
  <c r="B88" i="1"/>
  <c r="M87" i="1"/>
  <c r="K87" i="1"/>
  <c r="J87" i="1"/>
  <c r="I87" i="1"/>
  <c r="H87" i="1"/>
  <c r="E87" i="1"/>
  <c r="B87" i="1"/>
  <c r="M86" i="1"/>
  <c r="K86" i="1"/>
  <c r="I86" i="1"/>
  <c r="H86" i="1"/>
  <c r="E86" i="1"/>
  <c r="B86" i="1"/>
  <c r="L85" i="1"/>
  <c r="I85" i="1"/>
  <c r="H85" i="1"/>
  <c r="F85" i="1"/>
  <c r="C85" i="1"/>
  <c r="B85" i="1"/>
  <c r="L84" i="1"/>
  <c r="F84" i="1"/>
  <c r="C84" i="1"/>
  <c r="B84" i="1"/>
  <c r="B83" i="1"/>
  <c r="A83" i="1"/>
  <c r="O82" i="1"/>
  <c r="M82" i="1"/>
  <c r="L82" i="1"/>
  <c r="K82" i="1"/>
  <c r="I82" i="1"/>
  <c r="H82" i="1"/>
  <c r="G82" i="1"/>
  <c r="E82" i="1"/>
  <c r="D82" i="1"/>
  <c r="C82" i="1"/>
  <c r="B82" i="1"/>
  <c r="O81" i="1"/>
  <c r="M81" i="1"/>
  <c r="L81" i="1"/>
  <c r="K81" i="1"/>
  <c r="I81" i="1"/>
  <c r="H81" i="1"/>
  <c r="G81" i="1"/>
  <c r="E81" i="1"/>
  <c r="D81" i="1"/>
  <c r="C81" i="1"/>
  <c r="B81" i="1"/>
  <c r="K80" i="1"/>
  <c r="J80" i="1"/>
  <c r="B80" i="1"/>
  <c r="A80" i="1"/>
  <c r="O79" i="1"/>
  <c r="N79" i="1"/>
  <c r="L79" i="1"/>
  <c r="K79" i="1"/>
  <c r="J79" i="1"/>
  <c r="I79" i="1"/>
  <c r="H79" i="1"/>
  <c r="G79" i="1"/>
  <c r="F79" i="1"/>
  <c r="E79" i="1"/>
  <c r="D79" i="1"/>
  <c r="C79" i="1"/>
  <c r="B79" i="1"/>
  <c r="O78" i="1"/>
  <c r="N78" i="1"/>
  <c r="L78" i="1"/>
  <c r="K78" i="1"/>
  <c r="J78" i="1"/>
  <c r="I78" i="1"/>
  <c r="H78" i="1"/>
  <c r="G78" i="1"/>
  <c r="F78" i="1"/>
  <c r="E78" i="1"/>
  <c r="D78" i="1"/>
  <c r="C78" i="1"/>
  <c r="B78" i="1"/>
  <c r="G77" i="1"/>
  <c r="B77" i="1"/>
  <c r="B76" i="1"/>
  <c r="A76" i="1"/>
  <c r="M75" i="1"/>
  <c r="K75" i="1"/>
  <c r="J75" i="1"/>
  <c r="I75" i="1"/>
  <c r="H75" i="1"/>
  <c r="G75" i="1"/>
  <c r="F75" i="1"/>
  <c r="E75" i="1"/>
  <c r="D75" i="1"/>
  <c r="C75" i="1"/>
  <c r="B75" i="1"/>
  <c r="M74" i="1"/>
  <c r="K74" i="1"/>
  <c r="J74" i="1"/>
  <c r="I74" i="1"/>
  <c r="H74" i="1"/>
  <c r="G74" i="1"/>
  <c r="F74" i="1"/>
  <c r="E74" i="1"/>
  <c r="D74" i="1"/>
  <c r="C74" i="1"/>
  <c r="B74" i="1"/>
  <c r="G73" i="1"/>
  <c r="B73" i="1"/>
  <c r="A73" i="1"/>
  <c r="O72" i="1"/>
  <c r="N72" i="1"/>
  <c r="M72" i="1"/>
  <c r="K72" i="1"/>
  <c r="G72" i="1"/>
  <c r="F72" i="1"/>
  <c r="E72" i="1"/>
  <c r="D72" i="1"/>
  <c r="B72" i="1"/>
  <c r="O71" i="1"/>
  <c r="N71" i="1"/>
  <c r="M71" i="1"/>
  <c r="K71" i="1"/>
  <c r="J71" i="1"/>
  <c r="I71" i="1"/>
  <c r="H71" i="1"/>
  <c r="G71" i="1"/>
  <c r="F71" i="1"/>
  <c r="E71" i="1"/>
  <c r="D71" i="1"/>
  <c r="C71" i="1"/>
  <c r="B71" i="1"/>
  <c r="J70" i="1"/>
  <c r="I70" i="1"/>
  <c r="H70" i="1"/>
  <c r="B70" i="1"/>
  <c r="A70" i="1"/>
  <c r="N69" i="1"/>
  <c r="M69" i="1"/>
  <c r="L69" i="1"/>
  <c r="K69" i="1"/>
  <c r="J69" i="1"/>
  <c r="I69" i="1"/>
  <c r="H69" i="1"/>
  <c r="F69" i="1"/>
  <c r="E69" i="1"/>
  <c r="D69" i="1"/>
  <c r="B69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B67" i="1"/>
  <c r="A67" i="1"/>
  <c r="B66" i="1"/>
  <c r="B65" i="1"/>
  <c r="B64" i="1"/>
  <c r="G63" i="1"/>
  <c r="B63" i="1"/>
  <c r="F62" i="1"/>
  <c r="E62" i="1"/>
  <c r="D62" i="1"/>
  <c r="B62" i="1"/>
  <c r="B61" i="1"/>
  <c r="A61" i="1"/>
  <c r="G60" i="1"/>
  <c r="B60" i="1"/>
  <c r="G59" i="1"/>
  <c r="B59" i="1"/>
  <c r="M58" i="1"/>
  <c r="L58" i="1"/>
  <c r="G58" i="1"/>
  <c r="B58" i="1"/>
  <c r="G57" i="1"/>
  <c r="B57" i="1"/>
  <c r="O56" i="1"/>
  <c r="N56" i="1"/>
  <c r="K56" i="1"/>
  <c r="J56" i="1"/>
  <c r="I56" i="1"/>
  <c r="H56" i="1"/>
  <c r="C56" i="1"/>
  <c r="B56" i="1"/>
  <c r="B55" i="1"/>
  <c r="A55" i="1"/>
  <c r="B54" i="1"/>
  <c r="O53" i="1"/>
  <c r="N53" i="1"/>
  <c r="M53" i="1"/>
  <c r="L53" i="1"/>
  <c r="K53" i="1"/>
  <c r="J53" i="1"/>
  <c r="I53" i="1"/>
  <c r="H53" i="1"/>
  <c r="E53" i="1"/>
  <c r="D53" i="1"/>
  <c r="C53" i="1"/>
  <c r="B53" i="1"/>
  <c r="G52" i="1"/>
  <c r="F52" i="1"/>
  <c r="B52" i="1"/>
  <c r="B51" i="1"/>
  <c r="A51" i="1"/>
  <c r="B50" i="1"/>
  <c r="O49" i="1"/>
  <c r="N49" i="1"/>
  <c r="M49" i="1"/>
  <c r="L49" i="1"/>
  <c r="K49" i="1"/>
  <c r="J49" i="1"/>
  <c r="I49" i="1"/>
  <c r="H49" i="1"/>
  <c r="G49" i="1"/>
  <c r="F49" i="1"/>
  <c r="E49" i="1"/>
  <c r="D49" i="1"/>
  <c r="B49" i="1"/>
  <c r="B48" i="1"/>
  <c r="B47" i="1"/>
  <c r="A47" i="1"/>
  <c r="B46" i="1"/>
  <c r="O45" i="1"/>
  <c r="N45" i="1"/>
  <c r="M45" i="1"/>
  <c r="L45" i="1"/>
  <c r="K45" i="1"/>
  <c r="J45" i="1"/>
  <c r="I45" i="1"/>
  <c r="H45" i="1"/>
  <c r="F45" i="1"/>
  <c r="E45" i="1"/>
  <c r="D45" i="1"/>
  <c r="C45" i="1"/>
  <c r="B45" i="1"/>
  <c r="G44" i="1"/>
  <c r="C44" i="1"/>
  <c r="B44" i="1"/>
  <c r="B43" i="1"/>
  <c r="A43" i="1"/>
  <c r="G42" i="1"/>
  <c r="F42" i="1"/>
  <c r="E42" i="1"/>
  <c r="D42" i="1"/>
  <c r="B42" i="1"/>
  <c r="O41" i="1"/>
  <c r="N41" i="1"/>
  <c r="M41" i="1"/>
  <c r="L41" i="1"/>
  <c r="K41" i="1"/>
  <c r="J41" i="1"/>
  <c r="I41" i="1"/>
  <c r="H41" i="1"/>
  <c r="G41" i="1"/>
  <c r="C41" i="1"/>
  <c r="B41" i="1"/>
  <c r="G40" i="1"/>
  <c r="C40" i="1"/>
  <c r="B40" i="1"/>
  <c r="B39" i="1"/>
  <c r="A39" i="1"/>
  <c r="L38" i="1"/>
  <c r="J38" i="1"/>
  <c r="I38" i="1"/>
  <c r="D38" i="1"/>
  <c r="C38" i="1"/>
  <c r="B38" i="1"/>
  <c r="J37" i="1"/>
  <c r="I37" i="1"/>
  <c r="D37" i="1"/>
  <c r="C37" i="1"/>
  <c r="B37" i="1"/>
  <c r="J36" i="1"/>
  <c r="I36" i="1"/>
  <c r="D36" i="1"/>
  <c r="B36" i="1"/>
  <c r="A36" i="1"/>
  <c r="H35" i="1"/>
  <c r="B35" i="1"/>
  <c r="O34" i="1"/>
  <c r="N34" i="1"/>
  <c r="H34" i="1"/>
  <c r="C34" i="1"/>
  <c r="B34" i="1"/>
  <c r="O33" i="1"/>
  <c r="N33" i="1"/>
  <c r="L33" i="1"/>
  <c r="K33" i="1"/>
  <c r="J33" i="1"/>
  <c r="I33" i="1"/>
  <c r="H33" i="1"/>
  <c r="G33" i="1"/>
  <c r="D33" i="1"/>
  <c r="C33" i="1"/>
  <c r="B33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O31" i="1"/>
  <c r="N31" i="1"/>
  <c r="M31" i="1"/>
  <c r="L31" i="1"/>
  <c r="K31" i="1"/>
  <c r="G31" i="1"/>
  <c r="F31" i="1"/>
  <c r="E31" i="1"/>
  <c r="D31" i="1"/>
  <c r="C31" i="1"/>
  <c r="B31" i="1"/>
  <c r="L30" i="1"/>
  <c r="K30" i="1"/>
  <c r="D30" i="1"/>
  <c r="B30" i="1"/>
  <c r="A30" i="1"/>
  <c r="H29" i="1"/>
  <c r="E29" i="1"/>
  <c r="B29" i="1"/>
  <c r="O28" i="1"/>
  <c r="N28" i="1"/>
  <c r="M28" i="1"/>
  <c r="H28" i="1"/>
  <c r="E28" i="1"/>
  <c r="C28" i="1"/>
  <c r="B28" i="1"/>
  <c r="O27" i="1"/>
  <c r="N27" i="1"/>
  <c r="M27" i="1"/>
  <c r="L27" i="1"/>
  <c r="K27" i="1"/>
  <c r="G27" i="1"/>
  <c r="F27" i="1"/>
  <c r="E27" i="1"/>
  <c r="D27" i="1"/>
  <c r="C27" i="1"/>
  <c r="B27" i="1"/>
  <c r="O26" i="1"/>
  <c r="N26" i="1"/>
  <c r="M26" i="1"/>
  <c r="L26" i="1"/>
  <c r="K26" i="1"/>
  <c r="G26" i="1"/>
  <c r="F26" i="1"/>
  <c r="E26" i="1"/>
  <c r="D26" i="1"/>
  <c r="C26" i="1"/>
  <c r="B26" i="1"/>
  <c r="O25" i="1"/>
  <c r="N25" i="1"/>
  <c r="M25" i="1"/>
  <c r="K25" i="1"/>
  <c r="G25" i="1"/>
  <c r="F25" i="1"/>
  <c r="E25" i="1"/>
  <c r="D25" i="1"/>
  <c r="C25" i="1"/>
  <c r="B25" i="1"/>
  <c r="M24" i="1"/>
  <c r="G24" i="1"/>
  <c r="F24" i="1"/>
  <c r="E24" i="1"/>
  <c r="D24" i="1"/>
  <c r="B24" i="1"/>
  <c r="A24" i="1"/>
  <c r="O23" i="1"/>
  <c r="N23" i="1"/>
  <c r="L23" i="1"/>
  <c r="K23" i="1"/>
  <c r="J23" i="1"/>
  <c r="I23" i="1"/>
  <c r="H23" i="1"/>
  <c r="G23" i="1"/>
  <c r="F23" i="1"/>
  <c r="E23" i="1"/>
  <c r="D23" i="1"/>
  <c r="C23" i="1"/>
  <c r="B23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M21" i="1"/>
  <c r="L21" i="1"/>
  <c r="J21" i="1"/>
  <c r="I21" i="1"/>
  <c r="H21" i="1"/>
  <c r="G21" i="1"/>
  <c r="D21" i="1"/>
  <c r="C21" i="1"/>
  <c r="B21" i="1"/>
  <c r="C20" i="1"/>
  <c r="B20" i="1"/>
  <c r="A20" i="1"/>
  <c r="O19" i="1"/>
  <c r="M19" i="1"/>
  <c r="L19" i="1"/>
  <c r="K19" i="1"/>
  <c r="J19" i="1"/>
  <c r="I19" i="1"/>
  <c r="H19" i="1"/>
  <c r="G19" i="1"/>
  <c r="F19" i="1"/>
  <c r="E19" i="1"/>
  <c r="D19" i="1"/>
  <c r="C19" i="1"/>
  <c r="B19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17" i="1"/>
  <c r="L17" i="1"/>
  <c r="K17" i="1"/>
  <c r="J17" i="1"/>
  <c r="I17" i="1"/>
  <c r="G17" i="1"/>
  <c r="F17" i="1"/>
  <c r="E17" i="1"/>
  <c r="D17" i="1"/>
  <c r="C17" i="1"/>
  <c r="B17" i="1"/>
  <c r="G16" i="1"/>
  <c r="C16" i="1"/>
  <c r="B16" i="1"/>
  <c r="A16" i="1"/>
  <c r="O15" i="1"/>
  <c r="N15" i="1"/>
  <c r="M15" i="1"/>
  <c r="L15" i="1"/>
  <c r="K15" i="1"/>
  <c r="J15" i="1"/>
  <c r="I15" i="1"/>
  <c r="H15" i="1"/>
  <c r="G15" i="1"/>
  <c r="F15" i="1"/>
  <c r="E15" i="1"/>
  <c r="C15" i="1"/>
  <c r="B15" i="1"/>
  <c r="O14" i="1"/>
  <c r="N14" i="1"/>
  <c r="M14" i="1"/>
  <c r="L14" i="1"/>
  <c r="K14" i="1"/>
  <c r="J14" i="1"/>
  <c r="I14" i="1"/>
  <c r="H14" i="1"/>
  <c r="G14" i="1"/>
  <c r="F14" i="1"/>
  <c r="E14" i="1"/>
  <c r="C14" i="1"/>
  <c r="B14" i="1"/>
  <c r="L13" i="1"/>
  <c r="K13" i="1"/>
  <c r="J13" i="1"/>
  <c r="I13" i="1"/>
  <c r="H13" i="1"/>
  <c r="G13" i="1"/>
  <c r="F13" i="1"/>
  <c r="E13" i="1"/>
  <c r="C13" i="1"/>
  <c r="B13" i="1"/>
  <c r="C12" i="1"/>
  <c r="B12" i="1"/>
  <c r="A12" i="1"/>
  <c r="O11" i="1"/>
  <c r="M11" i="1"/>
  <c r="L11" i="1"/>
  <c r="K11" i="1"/>
  <c r="J11" i="1"/>
  <c r="I11" i="1"/>
  <c r="H11" i="1"/>
  <c r="G11" i="1"/>
  <c r="F11" i="1"/>
  <c r="E11" i="1"/>
  <c r="D11" i="1"/>
  <c r="C11" i="1"/>
  <c r="B11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N9" i="1"/>
  <c r="L9" i="1"/>
  <c r="J9" i="1"/>
  <c r="I9" i="1"/>
  <c r="H9" i="1"/>
  <c r="G9" i="1"/>
  <c r="F9" i="1"/>
  <c r="E9" i="1"/>
  <c r="D9" i="1"/>
  <c r="C9" i="1"/>
  <c r="B9" i="1"/>
  <c r="C8" i="1"/>
  <c r="B8" i="1"/>
  <c r="A8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G5" i="1"/>
  <c r="F5" i="1"/>
  <c r="E5" i="1"/>
  <c r="D5" i="1"/>
  <c r="C5" i="1"/>
  <c r="B5" i="1"/>
  <c r="A5" i="1"/>
  <c r="O4" i="1"/>
  <c r="N4" i="1"/>
  <c r="M4" i="1"/>
  <c r="L4" i="1"/>
  <c r="K4" i="1"/>
  <c r="J4" i="1"/>
  <c r="I4" i="1"/>
  <c r="H4" i="1"/>
  <c r="G4" i="1"/>
  <c r="F4" i="1"/>
  <c r="E4" i="1"/>
  <c r="D4" i="1"/>
  <c r="C4" i="1"/>
  <c r="O3" i="1"/>
  <c r="N3" i="1"/>
  <c r="M3" i="1"/>
  <c r="L3" i="1"/>
  <c r="K3" i="1"/>
  <c r="J3" i="1"/>
  <c r="I3" i="1"/>
  <c r="H3" i="1"/>
  <c r="G3" i="1"/>
  <c r="F3" i="1"/>
  <c r="E3" i="1"/>
  <c r="D3" i="1"/>
  <c r="C3" i="1"/>
  <c r="N2" i="1"/>
  <c r="L2" i="1"/>
  <c r="H2" i="1"/>
  <c r="C2" i="1"/>
  <c r="A2" i="1"/>
</calcChain>
</file>

<file path=xl/sharedStrings.xml><?xml version="1.0" encoding="utf-8"?>
<sst xmlns="http://schemas.openxmlformats.org/spreadsheetml/2006/main" count="1" uniqueCount="1">
  <si>
    <t>Căutare după numele profesorului --&gt;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</si>
</sst>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26">
    <border>
      <left/>
      <right/>
      <top/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2" xfId="0" applyFont="1" applyBorder="1"/>
    <xf numFmtId="0" fontId="1" fillId="4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4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4" xfId="0" applyFont="1" applyBorder="1"/>
    <xf numFmtId="0" fontId="1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2"/>
  <sheetViews>
    <sheetView showGridLines="0" tabSelected="1" workbookViewId="0">
      <pane xSplit="2" ySplit="3" topLeftCell="C110" activePane="bottomRight" state="frozen"/>
      <selection pane="topRight" activeCell="C1" sqref="C1"/>
      <selection pane="bottomLeft" activeCell="A4" sqref="A4"/>
      <selection pane="bottomRight" activeCell="G113" sqref="G113"/>
    </sheetView>
  </sheetViews>
  <sheetFormatPr defaultColWidth="12.6640625" defaultRowHeight="15.75" customHeight="1" x14ac:dyDescent="0.25"/>
  <cols>
    <col min="3" max="15" width="19.77734375" customWidth="1"/>
  </cols>
  <sheetData>
    <row r="1" spans="1:15" ht="24.75" customHeight="1" x14ac:dyDescent="0.25">
      <c r="A1" s="35" t="s">
        <v>0</v>
      </c>
      <c r="B1" s="36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23.25" customHeight="1" x14ac:dyDescent="0.25">
      <c r="A2" s="37" t="str">
        <f ca="1">IFERROR(__xludf.DUMMYFUNCTION("importrange(""1ewYDzqm5MGhpTIV9iBLWtS6m1ra_VBgBZJBlVyPX4bI"",""semI,II!a2:o135"")"),"")</f>
        <v/>
      </c>
      <c r="B2" s="38"/>
      <c r="C2" s="32" t="str">
        <f ca="1">IFERROR(__xludf.DUMMYFUNCTION("""COMPUTED_VALUE"""),"Anul I")</f>
        <v>Anul I</v>
      </c>
      <c r="D2" s="41"/>
      <c r="E2" s="41"/>
      <c r="F2" s="41"/>
      <c r="G2" s="33"/>
      <c r="H2" s="32" t="str">
        <f ca="1">IFERROR(__xludf.DUMMYFUNCTION("""COMPUTED_VALUE"""),"Anul II")</f>
        <v>Anul II</v>
      </c>
      <c r="I2" s="41"/>
      <c r="J2" s="41"/>
      <c r="K2" s="33"/>
      <c r="L2" s="42" t="str">
        <f ca="1">IFERROR(__xludf.DUMMYFUNCTION("""COMPUTED_VALUE"""),"Anul III")</f>
        <v>Anul III</v>
      </c>
      <c r="M2" s="33"/>
      <c r="N2" s="32" t="str">
        <f ca="1">IFERROR(__xludf.DUMMYFUNCTION("""COMPUTED_VALUE"""),"Anul IV")</f>
        <v>Anul IV</v>
      </c>
      <c r="O2" s="33"/>
    </row>
    <row r="3" spans="1:15" ht="13.8" thickBot="1" x14ac:dyDescent="0.3">
      <c r="A3" s="39"/>
      <c r="B3" s="40"/>
      <c r="C3" s="4" t="str">
        <f ca="1">IFERROR(__xludf.DUMMYFUNCTION("""COMPUTED_VALUE"""),"MFR2501")</f>
        <v>MFR2501</v>
      </c>
      <c r="D3" s="5" t="str">
        <f ca="1">IFERROR(__xludf.DUMMYFUNCTION("""COMPUTED_VALUE"""),"IAFR2501")</f>
        <v>IAFR2501</v>
      </c>
      <c r="E3" s="5" t="str">
        <f ca="1">IFERROR(__xludf.DUMMYFUNCTION("""COMPUTED_VALUE"""),"IAFR2502")</f>
        <v>IAFR2502</v>
      </c>
      <c r="F3" s="5" t="str">
        <f ca="1">IFERROR(__xludf.DUMMYFUNCTION("""COMPUTED_VALUE"""),"IȘEFR2501")</f>
        <v>IȘEFR2501</v>
      </c>
      <c r="G3" s="6" t="str">
        <f ca="1">IFERROR(__xludf.DUMMYFUNCTION("""COMPUTED_VALUE"""),"IAFR2503 R")</f>
        <v>IAFR2503 R</v>
      </c>
      <c r="H3" s="4" t="str">
        <f ca="1">IFERROR(__xludf.DUMMYFUNCTION("""COMPUTED_VALUE"""),"IAFR2401")</f>
        <v>IAFR2401</v>
      </c>
      <c r="I3" s="5" t="str">
        <f ca="1">IFERROR(__xludf.DUMMYFUNCTION("""COMPUTED_VALUE"""),"IAFR2402")</f>
        <v>IAFR2402</v>
      </c>
      <c r="J3" s="5" t="str">
        <f ca="1">IFERROR(__xludf.DUMMYFUNCTION("""COMPUTED_VALUE"""),"IȘEFR2401")</f>
        <v>IȘEFR2401</v>
      </c>
      <c r="K3" s="6" t="str">
        <f ca="1">IFERROR(__xludf.DUMMYFUNCTION("""COMPUTED_VALUE"""),"IAFR2403 R")</f>
        <v>IAFR2403 R</v>
      </c>
      <c r="L3" s="4" t="str">
        <f ca="1">IFERROR(__xludf.DUMMYFUNCTION("""COMPUTED_VALUE"""),"IAFR2301")</f>
        <v>IAFR2301</v>
      </c>
      <c r="M3" s="6" t="str">
        <f ca="1">IFERROR(__xludf.DUMMYFUNCTION("""COMPUTED_VALUE"""),"IAFR2302 R")</f>
        <v>IAFR2302 R</v>
      </c>
      <c r="N3" s="4" t="str">
        <f ca="1">IFERROR(__xludf.DUMMYFUNCTION("""COMPUTED_VALUE"""),"IAFR2201")</f>
        <v>IAFR2201</v>
      </c>
      <c r="O3" s="6" t="str">
        <f ca="1">IFERROR(__xludf.DUMMYFUNCTION("""COMPUTED_VALUE"""),"IAFR2202 R")</f>
        <v>IAFR2202 R</v>
      </c>
    </row>
    <row r="4" spans="1:15" ht="13.2" hidden="1" x14ac:dyDescent="0.25">
      <c r="A4" s="7"/>
      <c r="B4" s="8"/>
      <c r="C4" s="9" t="str">
        <f ca="1">IFERROR(__xludf.DUMMYFUNCTION("""COMPUTED_VALUE"""),"4 st")</f>
        <v>4 st</v>
      </c>
      <c r="D4" s="10" t="str">
        <f ca="1">IFERROR(__xludf.DUMMYFUNCTION("""COMPUTED_VALUE"""),"33 (2sg)")</f>
        <v>33 (2sg)</v>
      </c>
      <c r="E4" s="10" t="str">
        <f ca="1">IFERROR(__xludf.DUMMYFUNCTION("""COMPUTED_VALUE"""),"38 (2sg)")</f>
        <v>38 (2sg)</v>
      </c>
      <c r="F4" s="10" t="str">
        <f ca="1">IFERROR(__xludf.DUMMYFUNCTION("""COMPUTED_VALUE"""),"12 (1 sg.)")</f>
        <v>12 (1 sg.)</v>
      </c>
      <c r="G4" s="8" t="str">
        <f ca="1">IFERROR(__xludf.DUMMYFUNCTION("""COMPUTED_VALUE"""),"39 (2 sg.)")</f>
        <v>39 (2 sg.)</v>
      </c>
      <c r="H4" s="9" t="str">
        <f ca="1">IFERROR(__xludf.DUMMYFUNCTION("""COMPUTED_VALUE"""),"21 (1 sg.)")</f>
        <v>21 (1 sg.)</v>
      </c>
      <c r="I4" s="10" t="str">
        <f ca="1">IFERROR(__xludf.DUMMYFUNCTION("""COMPUTED_VALUE"""),"12 (1 sg.)")</f>
        <v>12 (1 sg.)</v>
      </c>
      <c r="J4" s="10" t="str">
        <f ca="1">IFERROR(__xludf.DUMMYFUNCTION("""COMPUTED_VALUE"""),"6 (1 sg.)")</f>
        <v>6 (1 sg.)</v>
      </c>
      <c r="K4" s="8" t="str">
        <f ca="1">IFERROR(__xludf.DUMMYFUNCTION("""COMPUTED_VALUE"""),"23 (1 sg.)")</f>
        <v>23 (1 sg.)</v>
      </c>
      <c r="L4" s="9" t="str">
        <f ca="1">IFERROR(__xludf.DUMMYFUNCTION("""COMPUTED_VALUE"""),"39 (2 sg.)")</f>
        <v>39 (2 sg.)</v>
      </c>
      <c r="M4" s="8" t="str">
        <f ca="1">IFERROR(__xludf.DUMMYFUNCTION("""COMPUTED_VALUE"""),"21 (1 sg.)")</f>
        <v>21 (1 sg.)</v>
      </c>
      <c r="N4" s="9" t="str">
        <f ca="1">IFERROR(__xludf.DUMMYFUNCTION("""COMPUTED_VALUE"""),"16 (1 sg.)")</f>
        <v>16 (1 sg.)</v>
      </c>
      <c r="O4" s="8" t="str">
        <f ca="1">IFERROR(__xludf.DUMMYFUNCTION("""COMPUTED_VALUE"""),"12 (1 sg.)")</f>
        <v>12 (1 sg.)</v>
      </c>
    </row>
    <row r="5" spans="1:15" ht="66.599999999999994" thickTop="1" x14ac:dyDescent="0.25">
      <c r="A5" s="34" t="str">
        <f ca="1">IFERROR(__xludf.DUMMYFUNCTION("""COMPUTED_VALUE"""),"Luni,
24.11.2025")</f>
        <v>Luni,
24.11.2025</v>
      </c>
      <c r="B5" s="11" t="str">
        <f ca="1">IFERROR(__xludf.DUMMYFUNCTION("""COMPUTED_VALUE""")," I
15:00-16:30")</f>
        <v xml:space="preserve"> I
15:00-16:30</v>
      </c>
      <c r="C5" s="12" t="str">
        <f ca="1">IFERROR(__xludf.DUMMYFUNCTION("""COMPUTED_VALUE"""),"Geometrie analitică (sem), F. Damian, 218/4")</f>
        <v>Geometrie analitică (sem), F. Damian, 218/4</v>
      </c>
      <c r="D5" s="13" t="str">
        <f ca="1">IFERROR(__xludf.DUMMYFUNCTION("""COMPUTED_VALUE""")," I: Sisteme operare (lab), 
M. Butnaru, 326/4
 II: Fund. Progr. (lab), 
M. Pavel, 145a/4")</f>
        <v xml:space="preserve"> I: Sisteme operare (lab), 
M. Butnaru, 326/4
 II: Fund. Progr. (lab), 
M. Pavel, 145a/4</v>
      </c>
      <c r="E5" s="13" t="str">
        <f ca="1">IFERROR(__xludf.DUMMYFUNCTION("""COMPUTED_VALUE"""),"Matem. (sem), 
V. Popa, 419/4")</f>
        <v>Matem. (sem), 
V. Popa, 419/4</v>
      </c>
      <c r="F5" s="13" t="str">
        <f ca="1">IFERROR(__xludf.DUMMYFUNCTION("""COMPUTED_VALUE"""),"Matem. (sem), 
V. Popa, 419/4")</f>
        <v>Matem. (sem), 
V. Popa, 419/4</v>
      </c>
      <c r="G5" s="14" t="str">
        <f ca="1">IFERROR(__xludf.DUMMYFUNCTION("""COMPUTED_VALUE""")," I: Sec. cibern. (lab), 
D. Borș, 216a/4a
 II: HTML (lab), 
T. Iațîșina, 237/4 ")</f>
        <v xml:space="preserve"> I: Sec. cibern. (lab), 
D. Borș, 216a/4a
 II: HTML (lab), 
T. Iațîșina, 237/4 </v>
      </c>
      <c r="H5" s="12"/>
      <c r="I5" s="13"/>
      <c r="J5" s="13"/>
      <c r="K5" s="14"/>
      <c r="L5" s="12"/>
      <c r="M5" s="14"/>
      <c r="N5" s="12"/>
      <c r="O5" s="14"/>
    </row>
    <row r="6" spans="1:15" ht="66" x14ac:dyDescent="0.25">
      <c r="A6" s="30"/>
      <c r="B6" s="11" t="str">
        <f ca="1">IFERROR(__xludf.DUMMYFUNCTION("""COMPUTED_VALUE""")," II
16:45-18:15")</f>
        <v xml:space="preserve"> II
16:45-18:15</v>
      </c>
      <c r="C6" s="12" t="str">
        <f ca="1">IFERROR(__xludf.DUMMYFUNCTION("""COMPUTED_VALUE"""),"Geometrie analitică (prel), F. Damian, 218/4")</f>
        <v>Geometrie analitică (prel), F. Damian, 218/4</v>
      </c>
      <c r="D6" s="13" t="str">
        <f ca="1">IFERROR(__xludf.DUMMYFUNCTION("""COMPUTED_VALUE""")," I: Sisteme operare (lab), 
M. Butnaru, 326/4
 II: Fund. Progr. (lab), 
M. Pavel, 145a/4")</f>
        <v xml:space="preserve"> I: Sisteme operare (lab), 
M. Butnaru, 326/4
 II: Fund. Progr. (lab), 
M. Pavel, 145a/4</v>
      </c>
      <c r="E6" s="13" t="str">
        <f ca="1">IFERROR(__xludf.DUMMYFUNCTION("""COMPUTED_VALUE"""),"Matem. (sem), 
V. Popa, 419/4")</f>
        <v>Matem. (sem), 
V. Popa, 419/4</v>
      </c>
      <c r="F6" s="13" t="str">
        <f ca="1">IFERROR(__xludf.DUMMYFUNCTION("""COMPUTED_VALUE"""),"Matem. (sem), 
V. Popa, 419/4")</f>
        <v>Matem. (sem), 
V. Popa, 419/4</v>
      </c>
      <c r="G6" s="14" t="str">
        <f ca="1">IFERROR(__xludf.DUMMYFUNCTION("""COMPUTED_VALUE""")," II: HTML (lab), 
T. Iațîșina, 237/4")</f>
        <v xml:space="preserve"> II: HTML (lab), 
T. Iațîșina, 237/4</v>
      </c>
      <c r="H6" s="12" t="str">
        <f ca="1">IFERROR(__xludf.DUMMYFUNCTION("""COMPUTED_VALUE"""),"Tehn. progr. (prel), 
D. Borș, 404/4")</f>
        <v>Tehn. progr. (prel), 
D. Borș, 404/4</v>
      </c>
      <c r="I6" s="13" t="str">
        <f ca="1">IFERROR(__xludf.DUMMYFUNCTION("""COMPUTED_VALUE"""),"Tehn. progr. (prel), 
D. Borș, 404/4")</f>
        <v>Tehn. progr. (prel), 
D. Borș, 404/4</v>
      </c>
      <c r="J6" s="13" t="str">
        <f ca="1">IFERROR(__xludf.DUMMYFUNCTION("""COMPUTED_VALUE"""),"Tehn. progr. (prel), 
D. Borș, 404/4")</f>
        <v>Tehn. progr. (prel), 
D. Borș, 404/4</v>
      </c>
      <c r="K6" s="14" t="str">
        <f ca="1">IFERROR(__xludf.DUMMYFUNCTION("""COMPUTED_VALUE"""),"Rețele calc. (prel), 
E. Cuznețova, 214/4")</f>
        <v>Rețele calc. (prel), 
E. Cuznețova, 214/4</v>
      </c>
      <c r="L6" s="12" t="str">
        <f ca="1">IFERROR(__xludf.DUMMYFUNCTION("""COMPUTED_VALUE"""),"Calc. num. (prel), 
I. Verlan, 401/4")</f>
        <v>Calc. num. (prel), 
I. Verlan, 401/4</v>
      </c>
      <c r="M6" s="14" t="str">
        <f ca="1">IFERROR(__xludf.DUMMYFUNCTION("""COMPUTED_VALUE"""),"Gestiune BD (prel), 
D. Pavel, 222/4")</f>
        <v>Gestiune BD (prel), 
D. Pavel, 222/4</v>
      </c>
      <c r="N6" s="12" t="str">
        <f ca="1">IFERROR(__xludf.DUMMYFUNCTION("""COMPUTED_VALUE"""),"Framework web (lab), 
V. Vișnevschi, 219/4a")</f>
        <v>Framework web (lab), 
V. Vișnevschi, 219/4a</v>
      </c>
      <c r="O6" s="14" t="str">
        <f ca="1">IFERROR(__xludf.DUMMYFUNCTION("""COMPUTED_VALUE"""),"Secur. aplic. web (prel), 
B. Vișnevschi, 218/4a")</f>
        <v>Secur. aplic. web (prel), 
B. Vișnevschi, 218/4a</v>
      </c>
    </row>
    <row r="7" spans="1:15" ht="39.6" x14ac:dyDescent="0.25">
      <c r="A7" s="31"/>
      <c r="B7" s="15" t="str">
        <f ca="1">IFERROR(__xludf.DUMMYFUNCTION("""COMPUTED_VALUE"""),"III
18:30-20:00")</f>
        <v>III
18:30-20:00</v>
      </c>
      <c r="C7" s="16" t="str">
        <f ca="1">IFERROR(__xludf.DUMMYFUNCTION("""COMPUTED_VALUE"""),"Algebră liniară (prel), P. Sârbu, 218/4")</f>
        <v>Algebră liniară (prel), P. Sârbu, 218/4</v>
      </c>
      <c r="D7" s="17" t="str">
        <f ca="1">IFERROR(__xludf.DUMMYFUNCTION("""COMPUTED_VALUE"""),"Sec. cibern. (prel), 
I. Tican, 213a/4")</f>
        <v>Sec. cibern. (prel), 
I. Tican, 213a/4</v>
      </c>
      <c r="E7" s="17" t="str">
        <f ca="1">IFERROR(__xludf.DUMMYFUNCTION("""COMPUTED_VALUE"""),"Sec. cibern. (prel), 
I. Tican, 213a/4")</f>
        <v>Sec. cibern. (prel), 
I. Tican, 213a/4</v>
      </c>
      <c r="F7" s="17" t="str">
        <f ca="1">IFERROR(__xludf.DUMMYFUNCTION("""COMPUTED_VALUE"""),"Sec. cibern. (prel), 
I. Tican, 213a/4")</f>
        <v>Sec. cibern. (prel), 
I. Tican, 213a/4</v>
      </c>
      <c r="G7" s="18" t="str">
        <f ca="1">IFERROR(__xludf.DUMMYFUNCTION("""COMPUTED_VALUE""")," II: Sisteme operare (lab), 
M. Butnaru, 326/4")</f>
        <v xml:space="preserve"> II: Sisteme operare (lab), 
M. Butnaru, 326/4</v>
      </c>
      <c r="H7" s="16" t="str">
        <f ca="1">IFERROR(__xludf.DUMMYFUNCTION("""COMPUTED_VALUE"""),"Tehn. progr. (prel), 
D. Borș, 404/4")</f>
        <v>Tehn. progr. (prel), 
D. Borș, 404/4</v>
      </c>
      <c r="I7" s="17" t="str">
        <f ca="1">IFERROR(__xludf.DUMMYFUNCTION("""COMPUTED_VALUE"""),"Tehn. progr. (prel), 
D. Borș, 404/4")</f>
        <v>Tehn. progr. (prel), 
D. Borș, 404/4</v>
      </c>
      <c r="J7" s="17" t="str">
        <f ca="1">IFERROR(__xludf.DUMMYFUNCTION("""COMPUTED_VALUE"""),"Tehn. progr. (prel), 
D. Borș, 404/4")</f>
        <v>Tehn. progr. (prel), 
D. Borș, 404/4</v>
      </c>
      <c r="K7" s="18" t="str">
        <f ca="1">IFERROR(__xludf.DUMMYFUNCTION("""COMPUTED_VALUE"""),"Rețele calc. (prel), 
E. Cuznețova, 214/4")</f>
        <v>Rețele calc. (prel), 
E. Cuznețova, 214/4</v>
      </c>
      <c r="L7" s="16" t="str">
        <f ca="1">IFERROR(__xludf.DUMMYFUNCTION("""COMPUTED_VALUE""")," I: Calc. num. (lab), 
I. Verlan, 401/4")</f>
        <v xml:space="preserve"> I: Calc. num. (lab), 
I. Verlan, 401/4</v>
      </c>
      <c r="M7" s="18" t="str">
        <f ca="1">IFERROR(__xludf.DUMMYFUNCTION("""COMPUTED_VALUE"""),"Gestiune BD (lab), 
D. Pavel, 222/4")</f>
        <v>Gestiune BD (lab), 
D. Pavel, 222/4</v>
      </c>
      <c r="N7" s="16" t="str">
        <f ca="1">IFERROR(__xludf.DUMMYFUNCTION("""COMPUTED_VALUE"""),"Framework web (lab), 
V. Vișnevschi, 219/4a")</f>
        <v>Framework web (lab), 
V. Vișnevschi, 219/4a</v>
      </c>
      <c r="O7" s="18" t="str">
        <f ca="1">IFERROR(__xludf.DUMMYFUNCTION("""COMPUTED_VALUE"""),"Secur. aplic. web (lab), 
B. Vișnevschi, 218/4a")</f>
        <v>Secur. aplic. web (lab), 
B. Vișnevschi, 218/4a</v>
      </c>
    </row>
    <row r="8" spans="1:15" ht="26.4" x14ac:dyDescent="0.25">
      <c r="A8" s="29" t="str">
        <f ca="1">IFERROR(__xludf.DUMMYFUNCTION("""COMPUTED_VALUE"""),"Marți,
25.11.2025")</f>
        <v>Marți,
25.11.2025</v>
      </c>
      <c r="B8" s="19" t="str">
        <f ca="1">IFERROR(__xludf.DUMMYFUNCTION("""COMPUTED_VALUE"""),"13:15-14:45")</f>
        <v>13:15-14:45</v>
      </c>
      <c r="C8" s="20" t="str">
        <f ca="1">IFERROR(__xludf.DUMMYFUNCTION("""COMPUTED_VALUE"""),"Calc. dif. şi int. (prel), G. Râbacova, 218/4")</f>
        <v>Calc. dif. şi int. (prel), G. Râbacova, 218/4</v>
      </c>
      <c r="D8" s="21"/>
      <c r="E8" s="21"/>
      <c r="F8" s="21"/>
      <c r="G8" s="22"/>
      <c r="H8" s="20"/>
      <c r="I8" s="21"/>
      <c r="J8" s="21"/>
      <c r="K8" s="22"/>
      <c r="L8" s="20"/>
      <c r="M8" s="22"/>
      <c r="N8" s="20"/>
      <c r="O8" s="22"/>
    </row>
    <row r="9" spans="1:15" ht="39.6" x14ac:dyDescent="0.25">
      <c r="A9" s="30"/>
      <c r="B9" s="11" t="str">
        <f ca="1">IFERROR(__xludf.DUMMYFUNCTION("""COMPUTED_VALUE""")," I
15:00-16:30")</f>
        <v xml:space="preserve"> I
15:00-16:30</v>
      </c>
      <c r="C9" s="12" t="str">
        <f ca="1">IFERROR(__xludf.DUMMYFUNCTION("""COMPUTED_VALUE"""),"Calc. dif. şi int. (sem), G. Râbacova, 218/4 ")</f>
        <v xml:space="preserve">Calc. dif. şi int. (sem), G. Râbacova, 218/4 </v>
      </c>
      <c r="D9" s="13" t="str">
        <f ca="1">IFERROR(__xludf.DUMMYFUNCTION("""COMPUTED_VALUE"""),"Matem. (prel), 
V. Popa, 122/4")</f>
        <v>Matem. (prel), 
V. Popa, 122/4</v>
      </c>
      <c r="E9" s="13" t="str">
        <f ca="1">IFERROR(__xludf.DUMMYFUNCTION("""COMPUTED_VALUE"""),"Matem. (prel), 
V. Popa, 122/4")</f>
        <v>Matem. (prel), 
V. Popa, 122/4</v>
      </c>
      <c r="F9" s="13" t="str">
        <f ca="1">IFERROR(__xludf.DUMMYFUNCTION("""COMPUTED_VALUE"""),"Matem. (prel), 
V. Popa, 122/4")</f>
        <v>Matem. (prel), 
V. Popa, 122/4</v>
      </c>
      <c r="G9" s="14" t="str">
        <f ca="1">IFERROR(__xludf.DUMMYFUNCTION("""COMPUTED_VALUE""")," I: HTML (lab), 
T. Iațîșina, 219/4a")</f>
        <v xml:space="preserve"> I: HTML (lab), 
T. Iațîșina, 219/4a</v>
      </c>
      <c r="H9" s="12" t="str">
        <f ca="1">IFERROR(__xludf.DUMMYFUNCTION("""COMPUTED_VALUE"""),"Mat. discr. 1 (prel), 
I. Cucu, 222/4")</f>
        <v>Mat. discr. 1 (prel), 
I. Cucu, 222/4</v>
      </c>
      <c r="I9" s="13" t="str">
        <f ca="1">IFERROR(__xludf.DUMMYFUNCTION("""COMPUTED_VALUE"""),"Mat. discr. 1 (prel), 
I. Cucu, 222/4")</f>
        <v>Mat. discr. 1 (prel), 
I. Cucu, 222/4</v>
      </c>
      <c r="J9" s="13" t="str">
        <f ca="1">IFERROR(__xludf.DUMMYFUNCTION("""COMPUTED_VALUE"""),"Mat. discr. 1 (prel), 
I. Cucu, 222/4")</f>
        <v>Mat. discr. 1 (prel), 
I. Cucu, 222/4</v>
      </c>
      <c r="K9" s="14"/>
      <c r="L9" s="12" t="str">
        <f ca="1">IFERROR(__xludf.DUMMYFUNCTION("""COMPUTED_VALUE"""),"Dezv. web PHP (prel), 
B. Vișnevschi, 326/4")</f>
        <v>Dezv. web PHP (prel), 
B. Vișnevschi, 326/4</v>
      </c>
      <c r="M9" s="14"/>
      <c r="N9" s="12" t="str">
        <f ca="1">IFERROR(__xludf.DUMMYFUNCTION("""COMPUTED_VALUE"""),"Secur. aplic. web (prel), 
I. Tican, 237/4")</f>
        <v>Secur. aplic. web (prel), 
I. Tican, 237/4</v>
      </c>
      <c r="O9" s="14"/>
    </row>
    <row r="10" spans="1:15" ht="39.6" x14ac:dyDescent="0.25">
      <c r="A10" s="30"/>
      <c r="B10" s="11" t="str">
        <f ca="1">IFERROR(__xludf.DUMMYFUNCTION("""COMPUTED_VALUE"""),"II
16:45-18:15")</f>
        <v>II
16:45-18:15</v>
      </c>
      <c r="C10" s="12" t="str">
        <f ca="1">IFERROR(__xludf.DUMMYFUNCTION("""COMPUTED_VALUE"""),"Logică şi teoria mulţ. (prel), I. Cucu, 218/4 ")</f>
        <v xml:space="preserve">Logică şi teoria mulţ. (prel), I. Cucu, 218/4 </v>
      </c>
      <c r="D10" s="13" t="str">
        <f ca="1">IFERROR(__xludf.DUMMYFUNCTION("""COMPUTED_VALUE"""),"Matem. (prel), 
V. Popa, 122/4")</f>
        <v>Matem. (prel), 
V. Popa, 122/4</v>
      </c>
      <c r="E10" s="13" t="str">
        <f ca="1">IFERROR(__xludf.DUMMYFUNCTION("""COMPUTED_VALUE"""),"Matem. (prel), 
V. Popa, 122/4")</f>
        <v>Matem. (prel), 
V. Popa, 122/4</v>
      </c>
      <c r="F10" s="13" t="str">
        <f ca="1">IFERROR(__xludf.DUMMYFUNCTION("""COMPUTED_VALUE"""),"Matem. (prel), 
V. Popa, 122/4")</f>
        <v>Matem. (prel), 
V. Popa, 122/4</v>
      </c>
      <c r="G10" s="14" t="str">
        <f ca="1">IFERROR(__xludf.DUMMYFUNCTION("""COMPUTED_VALUE""")," I: HTML (lab), 
T. Iațîșina, 219/4a")</f>
        <v xml:space="preserve"> I: HTML (lab), 
T. Iațîșina, 219/4a</v>
      </c>
      <c r="H10" s="12" t="str">
        <f ca="1">IFERROR(__xludf.DUMMYFUNCTION("""COMPUTED_VALUE"""),"BD (prel), 
M. Dumitraș, 404/4")</f>
        <v>BD (prel), 
M. Dumitraș, 404/4</v>
      </c>
      <c r="I10" s="13" t="str">
        <f ca="1">IFERROR(__xludf.DUMMYFUNCTION("""COMPUTED_VALUE"""),"BD (prel), 
M. Dumitraș, 404/4")</f>
        <v>BD (prel), 
M. Dumitraș, 404/4</v>
      </c>
      <c r="J10" s="13" t="str">
        <f ca="1">IFERROR(__xludf.DUMMYFUNCTION("""COMPUTED_VALUE"""),"BD (prel), 
M. Dumitraș, 404/4")</f>
        <v>BD (prel), 
M. Dumitraș, 404/4</v>
      </c>
      <c r="K10" s="14" t="str">
        <f ca="1">IFERROR(__xludf.DUMMYFUNCTION("""COMPUTED_VALUE"""),"L. str. (sem), 
G. Ciudin, 415/4")</f>
        <v>L. str. (sem), 
G. Ciudin, 415/4</v>
      </c>
      <c r="L10" s="12" t="str">
        <f ca="1">IFERROR(__xludf.DUMMYFUNCTION("""COMPUTED_VALUE"""),"S12 GA 3D (prel), E. Arseni, 419/4")</f>
        <v>S12 GA 3D (prel), E. Arseni, 419/4</v>
      </c>
      <c r="M10" s="14" t="str">
        <f ca="1">IFERROR(__xludf.DUMMYFUNCTION("""COMPUTED_VALUE"""),"Calc. num. (prel), 
I. Verlan, 216a/4a")</f>
        <v>Calc. num. (prel), 
I. Verlan, 216a/4a</v>
      </c>
      <c r="N10" s="12" t="str">
        <f ca="1">IFERROR(__xludf.DUMMYFUNCTION("""COMPUTED_VALUE"""),"Secur. aplic. web (lab), 
I. Tican, 237/4")</f>
        <v>Secur. aplic. web (lab), 
I. Tican, 237/4</v>
      </c>
      <c r="O10" s="14" t="str">
        <f ca="1">IFERROR(__xludf.DUMMYFUNCTION("""COMPUTED_VALUE"""),"Secur. aplic. web (prel), 
B. Vișnevschi, 326/4")</f>
        <v>Secur. aplic. web (prel), 
B. Vișnevschi, 326/4</v>
      </c>
    </row>
    <row r="11" spans="1:15" ht="66" x14ac:dyDescent="0.25">
      <c r="A11" s="31"/>
      <c r="B11" s="15" t="str">
        <f ca="1">IFERROR(__xludf.DUMMYFUNCTION("""COMPUTED_VALUE""")," III
18:30-20:00")</f>
        <v xml:space="preserve"> III
18:30-20:00</v>
      </c>
      <c r="C11" s="16" t="str">
        <f ca="1">IFERROR(__xludf.DUMMYFUNCTION("""COMPUTED_VALUE"""),"Logică şi teoria mulţ. (sem), I. Cucu, 218/4 ")</f>
        <v xml:space="preserve">Logică şi teoria mulţ. (sem), I. Cucu, 218/4 </v>
      </c>
      <c r="D11" s="17" t="str">
        <f ca="1">IFERROR(__xludf.DUMMYFUNCTION("""COMPUTED_VALUE"""),"Sec. cibern. (prel), 
I. Tican, 213a/4")</f>
        <v>Sec. cibern. (prel), 
I. Tican, 213a/4</v>
      </c>
      <c r="E11" s="17" t="str">
        <f ca="1">IFERROR(__xludf.DUMMYFUNCTION("""COMPUTED_VALUE"""),"Sec. cibern. (prel), 
I. Tican, 213a/4")</f>
        <v>Sec. cibern. (prel), 
I. Tican, 213a/4</v>
      </c>
      <c r="F11" s="17" t="str">
        <f ca="1">IFERROR(__xludf.DUMMYFUNCTION("""COMPUTED_VALUE"""),"Sec. cibern. (prel), 
I. Tican, 213a/4")</f>
        <v>Sec. cibern. (prel), 
I. Tican, 213a/4</v>
      </c>
      <c r="G11" s="18" t="str">
        <f ca="1">IFERROR(__xludf.DUMMYFUNCTION("""COMPUTED_VALUE""")," I: Fund. Progr. (lab), 
D. Borș, 219/4a
 II: Sisteme operare (lab), 
M. Butnaru, 237/4")</f>
        <v xml:space="preserve"> I: Fund. Progr. (lab), 
D. Borș, 219/4a
 II: Sisteme operare (lab), 
M. Butnaru, 237/4</v>
      </c>
      <c r="H11" s="16" t="str">
        <f ca="1">IFERROR(__xludf.DUMMYFUNCTION("""COMPUTED_VALUE"""),"BD (prel), 
M. Dumitraș, 404/4")</f>
        <v>BD (prel), 
M. Dumitraș, 404/4</v>
      </c>
      <c r="I11" s="17" t="str">
        <f ca="1">IFERROR(__xludf.DUMMYFUNCTION("""COMPUTED_VALUE"""),"BD (prel), 
M. Dumitraș, 404/4")</f>
        <v>BD (prel), 
M. Dumitraș, 404/4</v>
      </c>
      <c r="J11" s="17" t="str">
        <f ca="1">IFERROR(__xludf.DUMMYFUNCTION("""COMPUTED_VALUE"""),"BD (prel), 
M. Dumitraș, 404/4")</f>
        <v>BD (prel), 
M. Dumitraș, 404/4</v>
      </c>
      <c r="K11" s="18" t="str">
        <f ca="1">IFERROR(__xludf.DUMMYFUNCTION("""COMPUTED_VALUE"""),"L. str. (sem), 
G. Ciudin, 415/4")</f>
        <v>L. str. (sem), 
G. Ciudin, 415/4</v>
      </c>
      <c r="L11" s="16" t="str">
        <f ca="1">IFERROR(__xludf.DUMMYFUNCTION("""COMPUTED_VALUE"""),"S11 Spring (lab), M. Dodi, 218/4a
S12 GA 3D (lab), E. Arseni, 251/4")</f>
        <v>S11 Spring (lab), M. Dodi, 218/4a
S12 GA 3D (lab), E. Arseni, 251/4</v>
      </c>
      <c r="M11" s="18" t="str">
        <f ca="1">IFERROR(__xludf.DUMMYFUNCTION("""COMPUTED_VALUE"""),"Calc. num. (lab), 
I. Verlan, 216a/4a")</f>
        <v>Calc. num. (lab), 
I. Verlan, 216a/4a</v>
      </c>
      <c r="N11" s="16"/>
      <c r="O11" s="18" t="str">
        <f ca="1">IFERROR(__xludf.DUMMYFUNCTION("""COMPUTED_VALUE"""),"Secur. aplic. web (lab), 
B. Vișnevschi, 350/4")</f>
        <v>Secur. aplic. web (lab), 
B. Vișnevschi, 350/4</v>
      </c>
    </row>
    <row r="12" spans="1:15" ht="26.4" x14ac:dyDescent="0.25">
      <c r="A12" s="29" t="str">
        <f ca="1">IFERROR(__xludf.DUMMYFUNCTION("""COMPUTED_VALUE"""),"Miercuri,
26.11.2025")</f>
        <v>Miercuri,
26.11.2025</v>
      </c>
      <c r="B12" s="19" t="str">
        <f ca="1">IFERROR(__xludf.DUMMYFUNCTION("""COMPUTED_VALUE"""),"13:15-14:45")</f>
        <v>13:15-14:45</v>
      </c>
      <c r="C12" s="20" t="str">
        <f ca="1">IFERROR(__xludf.DUMMYFUNCTION("""COMPUTED_VALUE"""),"Algebră liniară (prel), P. Sârbu, 218/4")</f>
        <v>Algebră liniară (prel), P. Sârbu, 218/4</v>
      </c>
      <c r="D12" s="21"/>
      <c r="E12" s="21"/>
      <c r="F12" s="21"/>
      <c r="G12" s="22"/>
      <c r="H12" s="20"/>
      <c r="I12" s="21"/>
      <c r="J12" s="21"/>
      <c r="K12" s="22"/>
      <c r="L12" s="20"/>
      <c r="M12" s="22"/>
      <c r="N12" s="20"/>
      <c r="O12" s="22"/>
    </row>
    <row r="13" spans="1:15" ht="79.2" x14ac:dyDescent="0.25">
      <c r="A13" s="30"/>
      <c r="B13" s="11" t="str">
        <f ca="1">IFERROR(__xludf.DUMMYFUNCTION("""COMPUTED_VALUE""")," I
15:00-16:30")</f>
        <v xml:space="preserve"> I
15:00-16:30</v>
      </c>
      <c r="C13" s="12" t="str">
        <f ca="1">IFERROR(__xludf.DUMMYFUNCTION("""COMPUTED_VALUE"""),"Algebră liniară (sem), P. Sârbu, 218/4")</f>
        <v>Algebră liniară (sem), P. Sârbu, 218/4</v>
      </c>
      <c r="D13" s="13"/>
      <c r="E13" s="13" t="str">
        <f ca="1">IFERROR(__xludf.DUMMYFUNCTION("""COMPUTED_VALUE""")," I: Sisteme operare (lab), 
M. Butnaru, 254/4")</f>
        <v xml:space="preserve"> I: Sisteme operare (lab), 
M. Butnaru, 254/4</v>
      </c>
      <c r="F13" s="13" t="str">
        <f ca="1">IFERROR(__xludf.DUMMYFUNCTION("""COMPUTED_VALUE"""),"Sisteme operare (lab), 
M. Butnaru, 254/4")</f>
        <v>Sisteme operare (lab), 
M. Butnaru, 254/4</v>
      </c>
      <c r="G13" s="14" t="str">
        <f ca="1">IFERROR(__xludf.DUMMYFUNCTION("""COMPUTED_VALUE"""),"Sec. cibern. (prel), 
D. Borș, 214/4")</f>
        <v>Sec. cibern. (prel), 
D. Borș, 214/4</v>
      </c>
      <c r="H13" s="12" t="str">
        <f ca="1">IFERROR(__xludf.DUMMYFUNCTION("""COMPUTED_VALUE"""),"Mat. discr. 2 (prel), 
A. Niculiță, 113/4 ")</f>
        <v xml:space="preserve">Mat. discr. 2 (prel), 
A. Niculiță, 113/4 </v>
      </c>
      <c r="I13" s="13" t="str">
        <f ca="1">IFERROR(__xludf.DUMMYFUNCTION("""COMPUTED_VALUE"""),"Mat. discr. 2 (prel), 
A. Niculiță, 113/4 ")</f>
        <v xml:space="preserve">Mat. discr. 2 (prel), 
A. Niculiță, 113/4 </v>
      </c>
      <c r="J13" s="13" t="str">
        <f ca="1">IFERROR(__xludf.DUMMYFUNCTION("""COMPUTED_VALUE"""),"Mat. discr. 2 (prel), 
A. Niculiță, 113/4 ")</f>
        <v xml:space="preserve">Mat. discr. 2 (prel), 
A. Niculiță, 113/4 </v>
      </c>
      <c r="K13" s="14" t="str">
        <f ca="1">IFERROR(__xludf.DUMMYFUNCTION("""COMPUTED_VALUE"""),"Mat. discr. 1 (prel), 
I. Cucu, 419/4")</f>
        <v>Mat. discr. 1 (prel), 
I. Cucu, 419/4</v>
      </c>
      <c r="L13" s="12" t="str">
        <f ca="1">IFERROR(__xludf.DUMMYFUNCTION("""COMPUTED_VALUE""")," I: Dezv. web PHP (lab), 
B. Vișnevschi, 216a/4a
 II: Calc. num. (lab), 
I. Verlan, 239/4")</f>
        <v xml:space="preserve"> I: Dezv. web PHP (lab), 
B. Vișnevschi, 216a/4a
 II: Calc. num. (lab), 
I. Verlan, 239/4</v>
      </c>
      <c r="M13" s="14"/>
      <c r="N13" s="12"/>
      <c r="O13" s="14"/>
    </row>
    <row r="14" spans="1:15" ht="66" x14ac:dyDescent="0.25">
      <c r="A14" s="30"/>
      <c r="B14" s="11" t="str">
        <f ca="1">IFERROR(__xludf.DUMMYFUNCTION("""COMPUTED_VALUE""")," II
16:45-18:15")</f>
        <v xml:space="preserve"> II
16:45-18:15</v>
      </c>
      <c r="C14" s="12" t="str">
        <f ca="1">IFERROR(__xludf.DUMMYFUNCTION("""COMPUTED_VALUE"""),"Calc. dif. şi int. (prel), G. Râbacova, 218/4")</f>
        <v>Calc. dif. şi int. (prel), G. Râbacova, 218/4</v>
      </c>
      <c r="D14" s="13"/>
      <c r="E14" s="13" t="str">
        <f ca="1">IFERROR(__xludf.DUMMYFUNCTION("""COMPUTED_VALUE""")," I: Sisteme operare (lab), 
M. Butnaru, 237/4 
 II: Fund. Progr. (lab), 
M. Pavel, 143/4")</f>
        <v xml:space="preserve"> I: Sisteme operare (lab), 
M. Butnaru, 237/4 
 II: Fund. Progr. (lab), 
M. Pavel, 143/4</v>
      </c>
      <c r="F14" s="13" t="str">
        <f ca="1">IFERROR(__xludf.DUMMYFUNCTION("""COMPUTED_VALUE"""),"Sisteme operare (lab), 
M. Butnaru, 237/4")</f>
        <v>Sisteme operare (lab), 
M. Butnaru, 237/4</v>
      </c>
      <c r="G14" s="14" t="str">
        <f ca="1">IFERROR(__xludf.DUMMYFUNCTION("""COMPUTED_VALUE"""),"Matem. (prel), 
V. Popa, 214/4")</f>
        <v>Matem. (prel), 
V. Popa, 214/4</v>
      </c>
      <c r="H14" s="12" t="str">
        <f ca="1">IFERROR(__xludf.DUMMYFUNCTION("""COMPUTED_VALUE"""),"Rețele calc. (prel), 
D. Borș, 404/4")</f>
        <v>Rețele calc. (prel), 
D. Borș, 404/4</v>
      </c>
      <c r="I14" s="13" t="str">
        <f ca="1">IFERROR(__xludf.DUMMYFUNCTION("""COMPUTED_VALUE"""),"Rețele calc. (prel), 
D. Borș, 404/4")</f>
        <v>Rețele calc. (prel), 
D. Borș, 404/4</v>
      </c>
      <c r="J14" s="13" t="str">
        <f ca="1">IFERROR(__xludf.DUMMYFUNCTION("""COMPUTED_VALUE"""),"Rețele calc. (prel), 
D. Borș, 404/4")</f>
        <v>Rețele calc. (prel), 
D. Borș, 404/4</v>
      </c>
      <c r="K14" s="14" t="str">
        <f ca="1">IFERROR(__xludf.DUMMYFUNCTION("""COMPUTED_VALUE"""),"Mat. discr. 2 (prel), 
A. Niculiță, 251/4")</f>
        <v>Mat. discr. 2 (prel), 
A. Niculiță, 251/4</v>
      </c>
      <c r="L14" s="12" t="str">
        <f ca="1">IFERROR(__xludf.DUMMYFUNCTION("""COMPUTED_VALUE"""),"Gestiune BD (prel), 
D. Pavel, 113/4")</f>
        <v>Gestiune BD (prel), 
D. Pavel, 113/4</v>
      </c>
      <c r="M14" s="14" t="str">
        <f ca="1">IFERROR(__xludf.DUMMYFUNCTION("""COMPUTED_VALUE"""),"Calc. num. (lab), 
I. Verlan, 239/4")</f>
        <v>Calc. num. (lab), 
I. Verlan, 239/4</v>
      </c>
      <c r="N14" s="12" t="str">
        <f ca="1">IFERROR(__xludf.DUMMYFUNCTION("""COMPUTED_VALUE"""),"Elab. aplic. graf. (lab), 
M.Marin, 219/4a")</f>
        <v>Elab. aplic. graf. (lab), 
M.Marin, 219/4a</v>
      </c>
      <c r="O14" s="14" t="str">
        <f ca="1">IFERROR(__xludf.DUMMYFUNCTION("""COMPUTED_VALUE"""),"Secur. aplic. web (prel), 
B. Vișnevschi, 218/4a")</f>
        <v>Secur. aplic. web (prel), 
B. Vișnevschi, 218/4a</v>
      </c>
    </row>
    <row r="15" spans="1:15" ht="52.8" x14ac:dyDescent="0.25">
      <c r="A15" s="31"/>
      <c r="B15" s="15" t="str">
        <f ca="1">IFERROR(__xludf.DUMMYFUNCTION("""COMPUTED_VALUE"""),"III
 18:30-20:00")</f>
        <v>III
 18:30-20:00</v>
      </c>
      <c r="C15" s="16" t="str">
        <f ca="1">IFERROR(__xludf.DUMMYFUNCTION("""COMPUTED_VALUE"""),"Calc. dif. şi int. (sem), G. Râbacova, 218/4")</f>
        <v>Calc. dif. şi int. (sem), G. Râbacova, 218/4</v>
      </c>
      <c r="D15" s="17"/>
      <c r="E15" s="17" t="str">
        <f ca="1">IFERROR(__xludf.DUMMYFUNCTION("""COMPUTED_VALUE""")," I: Sec. cibern. (lab), 
I. Tican, 237/4 
 II: Fund. Progr. (lab), 
M. Pavel, 143/4")</f>
        <v xml:space="preserve"> I: Sec. cibern. (lab), 
I. Tican, 237/4 
 II: Fund. Progr. (lab), 
M. Pavel, 143/4</v>
      </c>
      <c r="F15" s="17" t="str">
        <f ca="1">IFERROR(__xludf.DUMMYFUNCTION("""COMPUTED_VALUE"""),"Sec. cibern. (lab), 
I. Tican, 350/4")</f>
        <v>Sec. cibern. (lab), 
I. Tican, 350/4</v>
      </c>
      <c r="G15" s="18" t="str">
        <f ca="1">IFERROR(__xludf.DUMMYFUNCTION("""COMPUTED_VALUE"""),"Matem. (prel), 
V. Popa, 214/4")</f>
        <v>Matem. (prel), 
V. Popa, 214/4</v>
      </c>
      <c r="H15" s="16" t="str">
        <f ca="1">IFERROR(__xludf.DUMMYFUNCTION("""COMPUTED_VALUE"""),"Rețele calc. (prel), 
D. Borș, 404/4")</f>
        <v>Rețele calc. (prel), 
D. Borș, 404/4</v>
      </c>
      <c r="I15" s="17" t="str">
        <f ca="1">IFERROR(__xludf.DUMMYFUNCTION("""COMPUTED_VALUE"""),"Rețele calc. (prel), 
D. Borș, 404/4")</f>
        <v>Rețele calc. (prel), 
D. Borș, 404/4</v>
      </c>
      <c r="J15" s="17" t="str">
        <f ca="1">IFERROR(__xludf.DUMMYFUNCTION("""COMPUTED_VALUE"""),"Rețele calc. (prel), 
D. Borș, 404/4")</f>
        <v>Rețele calc. (prel), 
D. Borș, 404/4</v>
      </c>
      <c r="K15" s="18" t="str">
        <f ca="1">IFERROR(__xludf.DUMMYFUNCTION("""COMPUTED_VALUE"""),"Mat. discr. 2 (lab), 
A. Niculiță, 251/4")</f>
        <v>Mat. discr. 2 (lab), 
A. Niculiță, 251/4</v>
      </c>
      <c r="L15" s="16" t="str">
        <f ca="1">IFERROR(__xludf.DUMMYFUNCTION("""COMPUTED_VALUE""")," II: Gestiune BD (lab), 
D. Pavel, 145a/4")</f>
        <v xml:space="preserve"> II: Gestiune BD (lab), 
D. Pavel, 145a/4</v>
      </c>
      <c r="M15" s="18" t="str">
        <f ca="1">IFERROR(__xludf.DUMMYFUNCTION("""COMPUTED_VALUE"""),"Calc. num. (lab), 
I. Verlan, 239/4")</f>
        <v>Calc. num. (lab), 
I. Verlan, 239/4</v>
      </c>
      <c r="N15" s="16" t="str">
        <f ca="1">IFERROR(__xludf.DUMMYFUNCTION("""COMPUTED_VALUE"""),"Elab. aplic. graf. (lab), 
M.Marin, 219/4a")</f>
        <v>Elab. aplic. graf. (lab), 
M.Marin, 219/4a</v>
      </c>
      <c r="O15" s="18" t="str">
        <f ca="1">IFERROR(__xludf.DUMMYFUNCTION("""COMPUTED_VALUE"""),"Secur. aplic. web (lab), 
B. Vișnevschi, 208/4a")</f>
        <v>Secur. aplic. web (lab), 
B. Vișnevschi, 208/4a</v>
      </c>
    </row>
    <row r="16" spans="1:15" ht="39.6" x14ac:dyDescent="0.25">
      <c r="A16" s="29" t="str">
        <f ca="1">IFERROR(__xludf.DUMMYFUNCTION("""COMPUTED_VALUE"""),"Joi,
27.11.2025")</f>
        <v>Joi,
27.11.2025</v>
      </c>
      <c r="B16" s="19" t="str">
        <f ca="1">IFERROR(__xludf.DUMMYFUNCTION("""COMPUTED_VALUE"""),"13:15-14:45")</f>
        <v>13:15-14:45</v>
      </c>
      <c r="C16" s="20" t="str">
        <f ca="1">IFERROR(__xludf.DUMMYFUNCTION("""COMPUTED_VALUE"""),"Geometrie analitică (prel), F. Damian, 218/4")</f>
        <v>Geometrie analitică (prel), F. Damian, 218/4</v>
      </c>
      <c r="D16" s="21"/>
      <c r="E16" s="21"/>
      <c r="F16" s="21"/>
      <c r="G16" s="22" t="str">
        <f ca="1">IFERROR(__xludf.DUMMYFUNCTION("""COMPUTED_VALUE"""),"Fund. Progr. (sem), 
D. Borș, 404/4")</f>
        <v>Fund. Progr. (sem), 
D. Borș, 404/4</v>
      </c>
      <c r="H16" s="20"/>
      <c r="I16" s="21"/>
      <c r="J16" s="21"/>
      <c r="K16" s="22"/>
      <c r="L16" s="20"/>
      <c r="M16" s="22"/>
      <c r="N16" s="20"/>
      <c r="O16" s="22"/>
    </row>
    <row r="17" spans="1:15" ht="66" x14ac:dyDescent="0.25">
      <c r="A17" s="30"/>
      <c r="B17" s="11" t="str">
        <f ca="1">IFERROR(__xludf.DUMMYFUNCTION("""COMPUTED_VALUE""")," I
15:00-16:30")</f>
        <v xml:space="preserve"> I
15:00-16:30</v>
      </c>
      <c r="C17" s="12" t="str">
        <f ca="1">IFERROR(__xludf.DUMMYFUNCTION("""COMPUTED_VALUE"""),"Geometrie analitică (sem), F. Damian, 218/4")</f>
        <v>Geometrie analitică (sem), F. Damian, 218/4</v>
      </c>
      <c r="D17" s="13" t="str">
        <f ca="1">IFERROR(__xludf.DUMMYFUNCTION("""COMPUTED_VALUE""")," I: Fund. Progr. (lab), 
M. Pavel, 251/4 
 II: Sisteme operare (lab), 
M. Butnaru, 326/4")</f>
        <v xml:space="preserve"> I: Fund. Progr. (lab), 
M. Pavel, 251/4 
 II: Sisteme operare (lab), 
M. Butnaru, 326/4</v>
      </c>
      <c r="E17" s="13" t="str">
        <f ca="1">IFERROR(__xludf.DUMMYFUNCTION("""COMPUTED_VALUE"""),"Matem. (sem), 
V. Popa, 415/4")</f>
        <v>Matem. (sem), 
V. Popa, 415/4</v>
      </c>
      <c r="F17" s="13" t="str">
        <f ca="1">IFERROR(__xludf.DUMMYFUNCTION("""COMPUTED_VALUE"""),"Matem. (sem), 
V. Popa, 415/4")</f>
        <v>Matem. (sem), 
V. Popa, 415/4</v>
      </c>
      <c r="G17" s="14" t="str">
        <f ca="1">IFERROR(__xludf.DUMMYFUNCTION("""COMPUTED_VALUE"""),"Sec. cibern. (prel), 
D. Borș, 401/4")</f>
        <v>Sec. cibern. (prel), 
D. Borș, 401/4</v>
      </c>
      <c r="H17" s="12"/>
      <c r="I17" s="13" t="str">
        <f ca="1">IFERROR(__xludf.DUMMYFUNCTION("""COMPUTED_VALUE"""),"Mat. discr. 2 (lab), 
A. Niculiță, 237/4")</f>
        <v>Mat. discr. 2 (lab), 
A. Niculiță, 237/4</v>
      </c>
      <c r="J17" s="13" t="str">
        <f ca="1">IFERROR(__xludf.DUMMYFUNCTION("""COMPUTED_VALUE"""),"Mat. discr. 2 (lab), 
A. Niculiță, 237/4")</f>
        <v>Mat. discr. 2 (lab), 
A. Niculiță, 237/4</v>
      </c>
      <c r="K17" s="14" t="str">
        <f ca="1">IFERROR(__xludf.DUMMYFUNCTION("""COMPUTED_VALUE"""),"Mat. discr. 1 (lab), 
I. Cucu, 219/4a")</f>
        <v>Mat. discr. 1 (lab), 
I. Cucu, 219/4a</v>
      </c>
      <c r="L17" s="12" t="str">
        <f ca="1">IFERROR(__xludf.DUMMYFUNCTION("""COMPUTED_VALUE""")," I: Gestiune BD (lab), 
D. Pavel, 218/4a")</f>
        <v xml:space="preserve"> I: Gestiune BD (lab), 
D. Pavel, 218/4a</v>
      </c>
      <c r="M17" s="14"/>
      <c r="N17" s="12" t="str">
        <f ca="1">IFERROR(__xludf.DUMMYFUNCTION("""COMPUTED_VALUE"""),"Secur. aplic. web (prel), 
I. Tican, 216a/4a")</f>
        <v>Secur. aplic. web (prel), 
I. Tican, 216a/4a</v>
      </c>
      <c r="O17" s="14"/>
    </row>
    <row r="18" spans="1:15" ht="66" x14ac:dyDescent="0.25">
      <c r="A18" s="30"/>
      <c r="B18" s="11" t="str">
        <f ca="1">IFERROR(__xludf.DUMMYFUNCTION("""COMPUTED_VALUE"""),"II
 16:45-18:15")</f>
        <v>II
 16:45-18:15</v>
      </c>
      <c r="C18" s="12" t="str">
        <f ca="1">IFERROR(__xludf.DUMMYFUNCTION("""COMPUTED_VALUE"""),"Logică şi teoria mulţ. (prel), I. Cucu, 419/4 ")</f>
        <v xml:space="preserve">Logică şi teoria mulţ. (prel), I. Cucu, 419/4 </v>
      </c>
      <c r="D18" s="13" t="str">
        <f ca="1">IFERROR(__xludf.DUMMYFUNCTION("""COMPUTED_VALUE""")," I: Fund. Progr. (lab), 
M. Pavel, 143/4
 II: Sisteme operare (lab), 
M. Butnaru, 145/4")</f>
        <v xml:space="preserve"> I: Fund. Progr. (lab), 
M. Pavel, 143/4
 II: Sisteme operare (lab), 
M. Butnaru, 145/4</v>
      </c>
      <c r="E18" s="13" t="str">
        <f ca="1">IFERROR(__xludf.DUMMYFUNCTION("""COMPUTED_VALUE"""),"Matem. (sem), 
V. Popa, 415/4")</f>
        <v>Matem. (sem), 
V. Popa, 415/4</v>
      </c>
      <c r="F18" s="13" t="str">
        <f ca="1">IFERROR(__xludf.DUMMYFUNCTION("""COMPUTED_VALUE"""),"Matem. (sem), 
V. Popa, 415/4")</f>
        <v>Matem. (sem), 
V. Popa, 415/4</v>
      </c>
      <c r="G18" s="14" t="str">
        <f ca="1">IFERROR(__xludf.DUMMYFUNCTION("""COMPUTED_VALUE"""),"Sec. cibern. (prel), 
D. Borș, 401/4")</f>
        <v>Sec. cibern. (prel), 
D. Borș, 401/4</v>
      </c>
      <c r="H18" s="12" t="str">
        <f ca="1">IFERROR(__xludf.DUMMYFUNCTION("""COMPUTED_VALUE"""),"L. str. (sem), 
G. Ciudin, 113/4")</f>
        <v>L. str. (sem), 
G. Ciudin, 113/4</v>
      </c>
      <c r="I18" s="13" t="str">
        <f ca="1">IFERROR(__xludf.DUMMYFUNCTION("""COMPUTED_VALUE"""),"L. str. (sem), 
G. Ciudin, 113/4")</f>
        <v>L. str. (sem), 
G. Ciudin, 113/4</v>
      </c>
      <c r="J18" s="13" t="str">
        <f ca="1">IFERROR(__xludf.DUMMYFUNCTION("""COMPUTED_VALUE"""),"L. str. (sem), 
G. Ciudin, 113/4")</f>
        <v>L. str. (sem), 
G. Ciudin, 113/4</v>
      </c>
      <c r="K18" s="14" t="str">
        <f ca="1">IFERROR(__xludf.DUMMYFUNCTION("""COMPUTED_VALUE"""),"Rețele calc. (lab), 
E. Cuznețova, 219/4a")</f>
        <v>Rețele calc. (lab), 
E. Cuznețova, 219/4a</v>
      </c>
      <c r="L18" s="12" t="str">
        <f ca="1">IFERROR(__xludf.DUMMYFUNCTION("""COMPUTED_VALUE""")," I: Calc. num. (lab), 
I. Verlan, 218/4a")</f>
        <v xml:space="preserve"> I: Calc. num. (lab), 
I. Verlan, 218/4a</v>
      </c>
      <c r="M18" s="14" t="str">
        <f ca="1">IFERROR(__xludf.DUMMYFUNCTION("""COMPUTED_VALUE"""),"Dezv. web PHP (prel), 
B. Vișnevschi, 404/4")</f>
        <v>Dezv. web PHP (prel), 
B. Vișnevschi, 404/4</v>
      </c>
      <c r="N18" s="12" t="str">
        <f ca="1">IFERROR(__xludf.DUMMYFUNCTION("""COMPUTED_VALUE"""),"Secur. aplic. web (lab), 
I. Tican, 216a/4a")</f>
        <v>Secur. aplic. web (lab), 
I. Tican, 216a/4a</v>
      </c>
      <c r="O18" s="14" t="str">
        <f ca="1">IFERROR(__xludf.DUMMYFUNCTION("""COMPUTED_VALUE"""),"Elab. aplic. graf. (lab), 
M.Marin, 423/4")</f>
        <v>Elab. aplic. graf. (lab), 
M.Marin, 423/4</v>
      </c>
    </row>
    <row r="19" spans="1:15" ht="26.4" x14ac:dyDescent="0.25">
      <c r="A19" s="31"/>
      <c r="B19" s="15" t="str">
        <f ca="1">IFERROR(__xludf.DUMMYFUNCTION("""COMPUTED_VALUE"""),"III
 18:30-20:00")</f>
        <v>III
 18:30-20:00</v>
      </c>
      <c r="C19" s="16" t="str">
        <f ca="1">IFERROR(__xludf.DUMMYFUNCTION("""COMPUTED_VALUE"""),"Logică şi teoria mulţ. (sem), I. Cucu, 419/4")</f>
        <v>Logică şi teoria mulţ. (sem), I. Cucu, 419/4</v>
      </c>
      <c r="D19" s="17" t="str">
        <f ca="1">IFERROR(__xludf.DUMMYFUNCTION("""COMPUTED_VALUE"""),"Sec. cibern. (prel), 
I. Tican, 213a/4")</f>
        <v>Sec. cibern. (prel), 
I. Tican, 213a/4</v>
      </c>
      <c r="E19" s="17" t="str">
        <f ca="1">IFERROR(__xludf.DUMMYFUNCTION("""COMPUTED_VALUE"""),"Sec. cibern. (prel), 
I. Tican, 213a/4")</f>
        <v>Sec. cibern. (prel), 
I. Tican, 213a/4</v>
      </c>
      <c r="F19" s="17" t="str">
        <f ca="1">IFERROR(__xludf.DUMMYFUNCTION("""COMPUTED_VALUE"""),"Sec. cibern. (prel), 
I. Tican, 213a/4")</f>
        <v>Sec. cibern. (prel), 
I. Tican, 213a/4</v>
      </c>
      <c r="G19" s="18" t="str">
        <f ca="1">IFERROR(__xludf.DUMMYFUNCTION("""COMPUTED_VALUE""")," I: Fund. Progr. (lab), 
D. Borș, 145/4")</f>
        <v xml:space="preserve"> I: Fund. Progr. (lab), 
D. Borș, 145/4</v>
      </c>
      <c r="H19" s="16" t="str">
        <f ca="1">IFERROR(__xludf.DUMMYFUNCTION("""COMPUTED_VALUE"""),"L. str. (sem), 
G. Ciudin, 113/4")</f>
        <v>L. str. (sem), 
G. Ciudin, 113/4</v>
      </c>
      <c r="I19" s="17" t="str">
        <f ca="1">IFERROR(__xludf.DUMMYFUNCTION("""COMPUTED_VALUE"""),"L. str. (sem), 
G. Ciudin, 113/4")</f>
        <v>L. str. (sem), 
G. Ciudin, 113/4</v>
      </c>
      <c r="J19" s="17" t="str">
        <f ca="1">IFERROR(__xludf.DUMMYFUNCTION("""COMPUTED_VALUE"""),"L. str. (sem), 
G. Ciudin, 113/4")</f>
        <v>L. str. (sem), 
G. Ciudin, 113/4</v>
      </c>
      <c r="K19" s="18" t="str">
        <f ca="1">IFERROR(__xludf.DUMMYFUNCTION("""COMPUTED_VALUE"""),"Rețele calc. (lab), 
E. Cuznețova, 219/4a")</f>
        <v>Rețele calc. (lab), 
E. Cuznețova, 219/4a</v>
      </c>
      <c r="L19" s="16" t="str">
        <f ca="1">IFERROR(__xludf.DUMMYFUNCTION("""COMPUTED_VALUE""")," I: Calc. num. (lab), 
I. Verlan, 218/4a")</f>
        <v xml:space="preserve"> I: Calc. num. (lab), 
I. Verlan, 218/4a</v>
      </c>
      <c r="M19" s="18" t="str">
        <f ca="1">IFERROR(__xludf.DUMMYFUNCTION("""COMPUTED_VALUE"""),"Dezv. web PHP (lab), 
B. Vișnevschi, 350/4")</f>
        <v>Dezv. web PHP (lab), 
B. Vișnevschi, 350/4</v>
      </c>
      <c r="N19" s="16"/>
      <c r="O19" s="18" t="str">
        <f ca="1">IFERROR(__xludf.DUMMYFUNCTION("""COMPUTED_VALUE"""),"Elab. aplic. graf. (lab), 
M.Marin, 423/4")</f>
        <v>Elab. aplic. graf. (lab), 
M.Marin, 423/4</v>
      </c>
    </row>
    <row r="20" spans="1:15" ht="26.4" x14ac:dyDescent="0.25">
      <c r="A20" s="29" t="str">
        <f ca="1">IFERROR(__xludf.DUMMYFUNCTION("""COMPUTED_VALUE"""),"Vineri,
28.11.2025")</f>
        <v>Vineri,
28.11.2025</v>
      </c>
      <c r="B20" s="19" t="str">
        <f ca="1">IFERROR(__xludf.DUMMYFUNCTION("""COMPUTED_VALUE"""),"13:15-14:45")</f>
        <v>13:15-14:45</v>
      </c>
      <c r="C20" s="20" t="str">
        <f ca="1">IFERROR(__xludf.DUMMYFUNCTION("""COMPUTED_VALUE"""),"Calc. dif. şi int. (prel), G. Râbacova, 411/4")</f>
        <v>Calc. dif. şi int. (prel), G. Râbacova, 411/4</v>
      </c>
      <c r="D20" s="21"/>
      <c r="E20" s="21"/>
      <c r="F20" s="21"/>
      <c r="G20" s="22"/>
      <c r="H20" s="20"/>
      <c r="I20" s="21"/>
      <c r="J20" s="21"/>
      <c r="K20" s="22"/>
      <c r="L20" s="20"/>
      <c r="M20" s="22"/>
      <c r="N20" s="20"/>
      <c r="O20" s="22"/>
    </row>
    <row r="21" spans="1:15" ht="52.8" x14ac:dyDescent="0.25">
      <c r="A21" s="30"/>
      <c r="B21" s="11" t="str">
        <f ca="1">IFERROR(__xludf.DUMMYFUNCTION("""COMPUTED_VALUE""")," I
15:00-16:30")</f>
        <v xml:space="preserve"> I
15:00-16:30</v>
      </c>
      <c r="C21" s="12" t="str">
        <f ca="1">IFERROR(__xludf.DUMMYFUNCTION("""COMPUTED_VALUE"""),"Calc. dif. şi int. (sem), G. Râbacova, 411/4")</f>
        <v>Calc. dif. şi int. (sem), G. Râbacova, 411/4</v>
      </c>
      <c r="D21" s="13" t="str">
        <f ca="1">IFERROR(__xludf.DUMMYFUNCTION("""COMPUTED_VALUE""")," I: HTML (lab), 
M. Butnaru, 143/4")</f>
        <v xml:space="preserve"> I: HTML (lab), 
M. Butnaru, 143/4</v>
      </c>
      <c r="E21" s="13"/>
      <c r="F21" s="13"/>
      <c r="G21" s="14" t="str">
        <f ca="1">IFERROR(__xludf.DUMMYFUNCTION("""COMPUTED_VALUE"""),"L. rom. (sem), 
E. Braguta, 419/4")</f>
        <v>L. rom. (sem), 
E. Braguta, 419/4</v>
      </c>
      <c r="H21" s="12" t="str">
        <f ca="1">IFERROR(__xludf.DUMMYFUNCTION("""COMPUTED_VALUE"""),"Mat. discr. 2 (lab), 
A. Niculiță, 251/4")</f>
        <v>Mat. discr. 2 (lab), 
A. Niculiță, 251/4</v>
      </c>
      <c r="I21" s="13" t="str">
        <f ca="1">IFERROR(__xludf.DUMMYFUNCTION("""COMPUTED_VALUE"""),"Mat. discr. 1 (lab), 
I. Cucu, 216a/4a")</f>
        <v>Mat. discr. 1 (lab), 
I. Cucu, 216a/4a</v>
      </c>
      <c r="J21" s="13" t="str">
        <f ca="1">IFERROR(__xludf.DUMMYFUNCTION("""COMPUTED_VALUE"""),"Mat. discr. 1 (lab), 
I. Cucu, 216a/4a")</f>
        <v>Mat. discr. 1 (lab), 
I. Cucu, 216a/4a</v>
      </c>
      <c r="K21" s="14"/>
      <c r="L21" s="12" t="str">
        <f ca="1">IFERROR(__xludf.DUMMYFUNCTION("""COMPUTED_VALUE""")," II: Dezv. web PHP (lab), 
B. Vișnevschi, 218/4a")</f>
        <v xml:space="preserve"> II: Dezv. web PHP (lab), 
B. Vișnevschi, 218/4a</v>
      </c>
      <c r="M21" s="14" t="str">
        <f ca="1">IFERROR(__xludf.DUMMYFUNCTION("""COMPUTED_VALUE"""),"S21 Containizare (lab), D. Borș, 326/4 
S22 React (lab), D. Negura, 145a/4")</f>
        <v>S21 Containizare (lab), D. Borș, 326/4 
S22 React (lab), D. Negura, 145a/4</v>
      </c>
      <c r="N21" s="12"/>
      <c r="O21" s="14"/>
    </row>
    <row r="22" spans="1:15" ht="52.8" x14ac:dyDescent="0.25">
      <c r="A22" s="30"/>
      <c r="B22" s="11" t="str">
        <f ca="1">IFERROR(__xludf.DUMMYFUNCTION("""COMPUTED_VALUE"""),"II
 16:45-18:15")</f>
        <v>II
 16:45-18:15</v>
      </c>
      <c r="C22" s="12" t="str">
        <f ca="1">IFERROR(__xludf.DUMMYFUNCTION("""COMPUTED_VALUE"""),"Algebră liniară (sem), P. Sârbu, 218/4")</f>
        <v>Algebră liniară (sem), P. Sârbu, 218/4</v>
      </c>
      <c r="D22" s="13" t="str">
        <f ca="1">IFERROR(__xludf.DUMMYFUNCTION("""COMPUTED_VALUE"""),"Matem. (sem), 
V. Popa, 415/4")</f>
        <v>Matem. (sem), 
V. Popa, 415/4</v>
      </c>
      <c r="E22" s="13" t="str">
        <f ca="1">IFERROR(__xludf.DUMMYFUNCTION("""COMPUTED_VALUE""")," I: Fund. Progr. (lab), 
M. Pavel, 145a/4
 II: Sec. cibern. (lab), 
I. Tican, 251/4")</f>
        <v xml:space="preserve"> I: Fund. Progr. (lab), 
M. Pavel, 145a/4
 II: Sec. cibern. (lab), 
I. Tican, 251/4</v>
      </c>
      <c r="F22" s="13" t="str">
        <f ca="1">IFERROR(__xludf.DUMMYFUNCTION("""COMPUTED_VALUE"""),"Fund. Progr. (lab), 
M. Pavel, 145a/4")</f>
        <v>Fund. Progr. (lab), 
M. Pavel, 145a/4</v>
      </c>
      <c r="G22" s="14" t="str">
        <f ca="1">IFERROR(__xludf.DUMMYFUNCTION("""COMPUTED_VALUE""")," I: Sisteme operare (lab), 
M. Butnaru, 7/2a")</f>
        <v xml:space="preserve"> I: Sisteme operare (lab), 
M. Butnaru, 7/2a</v>
      </c>
      <c r="H22" s="12" t="str">
        <f ca="1">IFERROR(__xludf.DUMMYFUNCTION("""COMPUTED_VALUE"""),"Mat. discr. 1 (lab), 
I. Cucu, 239/4")</f>
        <v>Mat. discr. 1 (lab), 
I. Cucu, 239/4</v>
      </c>
      <c r="I22" s="13" t="str">
        <f ca="1">IFERROR(__xludf.DUMMYFUNCTION("""COMPUTED_VALUE"""),"BD (lab), 
M. Dumitraș, 216a/4a")</f>
        <v>BD (lab), 
M. Dumitraș, 216a/4a</v>
      </c>
      <c r="J22" s="13" t="str">
        <f ca="1">IFERROR(__xludf.DUMMYFUNCTION("""COMPUTED_VALUE"""),"BD (lab), 
M. Dumitraș, 216a/4a")</f>
        <v>BD (lab), 
M. Dumitraș, 216a/4a</v>
      </c>
      <c r="K22" s="14" t="str">
        <f ca="1">IFERROR(__xludf.DUMMYFUNCTION("""COMPUTED_VALUE"""),"BD (prel), 
V. Trebiș, 419/4")</f>
        <v>BD (prel), 
V. Trebiș, 419/4</v>
      </c>
      <c r="L22" s="12" t="str">
        <f ca="1">IFERROR(__xludf.DUMMYFUNCTION("""COMPUTED_VALUE""")," II: Calc. num. (lab), 
I. Verlan, 219/4a")</f>
        <v xml:space="preserve"> II: Calc. num. (lab), 
I. Verlan, 219/4a</v>
      </c>
      <c r="M22" s="14" t="str">
        <f ca="1">IFERROR(__xludf.DUMMYFUNCTION("""COMPUTED_VALUE"""),"S21 Containizare (prel), D. Borș, 404/4 
S22 React (prel), D. Negura, 213a/4")</f>
        <v>S21 Containizare (prel), D. Borș, 404/4 
S22 React (prel), D. Negura, 213a/4</v>
      </c>
      <c r="N22" s="12" t="str">
        <f ca="1">IFERROR(__xludf.DUMMYFUNCTION("""COMPUTED_VALUE"""),"Securitate BD (prel), 
O. Pașa, 214/4")</f>
        <v>Securitate BD (prel), 
O. Pașa, 214/4</v>
      </c>
      <c r="O22" s="14" t="str">
        <f ca="1">IFERROR(__xludf.DUMMYFUNCTION("""COMPUTED_VALUE"""),"Secur. aplic. web (lab), 
B. Vișnevschi, 218/4a")</f>
        <v>Secur. aplic. web (lab), 
B. Vișnevschi, 218/4a</v>
      </c>
    </row>
    <row r="23" spans="1:15" ht="52.8" x14ac:dyDescent="0.25">
      <c r="A23" s="31"/>
      <c r="B23" s="15" t="str">
        <f ca="1">IFERROR(__xludf.DUMMYFUNCTION("""COMPUTED_VALUE"""),"III
 18:30-20:00")</f>
        <v>III
 18:30-20:00</v>
      </c>
      <c r="C23" s="16" t="str">
        <f ca="1">IFERROR(__xludf.DUMMYFUNCTION("""COMPUTED_VALUE"""),"Algebră liniară (sem), P. Sârbu, 218/4")</f>
        <v>Algebră liniară (sem), P. Sârbu, 218/4</v>
      </c>
      <c r="D23" s="17" t="str">
        <f ca="1">IFERROR(__xludf.DUMMYFUNCTION("""COMPUTED_VALUE"""),"Matem. (sem), 
V. Popa, 415/4")</f>
        <v>Matem. (sem), 
V. Popa, 415/4</v>
      </c>
      <c r="E23" s="17" t="str">
        <f ca="1">IFERROR(__xludf.DUMMYFUNCTION("""COMPUTED_VALUE""")," I: Fund. Progr. (lab), 
M. Pavel, 145a/4
 II: Sec. cibern. (lab), 
I. Tican, 251/4")</f>
        <v xml:space="preserve"> I: Fund. Progr. (lab), 
M. Pavel, 145a/4
 II: Sec. cibern. (lab), 
I. Tican, 251/4</v>
      </c>
      <c r="F23" s="17" t="str">
        <f ca="1">IFERROR(__xludf.DUMMYFUNCTION("""COMPUTED_VALUE"""),"Fund. Progr. (lab), 
M. Pavel, 145a/4")</f>
        <v>Fund. Progr. (lab), 
M. Pavel, 145a/4</v>
      </c>
      <c r="G23" s="18" t="str">
        <f ca="1">IFERROR(__xludf.DUMMYFUNCTION("""COMPUTED_VALUE""")," I: Sisteme operare (lab), 
M. Butnaru, 7/2a")</f>
        <v xml:space="preserve"> I: Sisteme operare (lab), 
M. Butnaru, 7/2a</v>
      </c>
      <c r="H23" s="16" t="str">
        <f ca="1">IFERROR(__xludf.DUMMYFUNCTION("""COMPUTED_VALUE"""),"Rețele calc. (lab), 
D. Borș, 423/4")</f>
        <v>Rețele calc. (lab), 
D. Borș, 423/4</v>
      </c>
      <c r="I23" s="17" t="str">
        <f ca="1">IFERROR(__xludf.DUMMYFUNCTION("""COMPUTED_VALUE"""),"BD (lab), 
M. Dumitraș, 216a/4a")</f>
        <v>BD (lab), 
M. Dumitraș, 216a/4a</v>
      </c>
      <c r="J23" s="17" t="str">
        <f ca="1">IFERROR(__xludf.DUMMYFUNCTION("""COMPUTED_VALUE"""),"BD (lab), 
M. Dumitraș, 216a/4a")</f>
        <v>BD (lab), 
M. Dumitraș, 216a/4a</v>
      </c>
      <c r="K23" s="18" t="str">
        <f ca="1">IFERROR(__xludf.DUMMYFUNCTION("""COMPUTED_VALUE"""),"BD (prel), 
V. Trebiș, 419/4")</f>
        <v>BD (prel), 
V. Trebiș, 419/4</v>
      </c>
      <c r="L23" s="16" t="str">
        <f ca="1">IFERROR(__xludf.DUMMYFUNCTION("""COMPUTED_VALUE""")," II: Calc. num. (lab), 
I. Verlan, 219/4a")</f>
        <v xml:space="preserve"> II: Calc. num. (lab), 
I. Verlan, 219/4a</v>
      </c>
      <c r="M23" s="18"/>
      <c r="N23" s="16" t="str">
        <f ca="1">IFERROR(__xludf.DUMMYFUNCTION("""COMPUTED_VALUE"""),"Securitate BD (lab), 
O. Pașa, 350/4")</f>
        <v>Securitate BD (lab), 
O. Pașa, 350/4</v>
      </c>
      <c r="O23" s="18" t="str">
        <f ca="1">IFERROR(__xludf.DUMMYFUNCTION("""COMPUTED_VALUE"""),"Secur. aplic. web (lab), 
B. Vișnevschi, 218/4a")</f>
        <v>Secur. aplic. web (lab), 
B. Vișnevschi, 218/4a</v>
      </c>
    </row>
    <row r="24" spans="1:15" ht="66" x14ac:dyDescent="0.25">
      <c r="A24" s="29" t="str">
        <f ca="1">IFERROR(__xludf.DUMMYFUNCTION("""COMPUTED_VALUE"""),"Sîmbătă,
29.11.2025")</f>
        <v>Sîmbătă,
29.11.2025</v>
      </c>
      <c r="B24" s="19" t="str">
        <f ca="1">IFERROR(__xludf.DUMMYFUNCTION("""COMPUTED_VALUE"""),"I
 08:00-9:30")</f>
        <v>I
 08:00-9:30</v>
      </c>
      <c r="C24" s="20"/>
      <c r="D24" s="21" t="str">
        <f ca="1">IFERROR(__xludf.DUMMYFUNCTION("""COMPUTED_VALUE"""),"Fund. Progr. (sem), 
M. Pavel, 415/4")</f>
        <v>Fund. Progr. (sem), 
M. Pavel, 415/4</v>
      </c>
      <c r="E24" s="21" t="str">
        <f ca="1">IFERROR(__xludf.DUMMYFUNCTION("""COMPUTED_VALUE""")," I: Sec. cibern. (lab), 
I. Tican, 7/2a
 II: Sisteme operare (lab), 
M. Butnaru, 9/2a")</f>
        <v xml:space="preserve"> I: Sec. cibern. (lab), 
I. Tican, 7/2a
 II: Sisteme operare (lab), 
M. Butnaru, 9/2a</v>
      </c>
      <c r="F24" s="21" t="str">
        <f ca="1">IFERROR(__xludf.DUMMYFUNCTION("""COMPUTED_VALUE"""),"Sec. cibern. (lab), 
I. Tican, 7/2a")</f>
        <v>Sec. cibern. (lab), 
I. Tican, 7/2a</v>
      </c>
      <c r="G24" s="22" t="str">
        <f ca="1">IFERROR(__xludf.DUMMYFUNCTION("""COMPUTED_VALUE"""),"Matem. (sem), 
V. Popa, 419/4")</f>
        <v>Matem. (sem), 
V. Popa, 419/4</v>
      </c>
      <c r="H24" s="20"/>
      <c r="I24" s="21"/>
      <c r="J24" s="21"/>
      <c r="K24" s="22"/>
      <c r="L24" s="20"/>
      <c r="M24" s="22" t="str">
        <f ca="1">IFERROR(__xludf.DUMMYFUNCTION("""COMPUTED_VALUE"""),"S21 Containizare (lab), D. Borș, 143/4")</f>
        <v>S21 Containizare (lab), D. Borș, 143/4</v>
      </c>
      <c r="N24" s="20"/>
      <c r="O24" s="22"/>
    </row>
    <row r="25" spans="1:15" ht="66" x14ac:dyDescent="0.25">
      <c r="A25" s="30"/>
      <c r="B25" s="11" t="str">
        <f ca="1">IFERROR(__xludf.DUMMYFUNCTION("""COMPUTED_VALUE"""),"II
 09:45-11:15")</f>
        <v>II
 09:45-11:15</v>
      </c>
      <c r="C25" s="12" t="str">
        <f ca="1">IFERROR(__xludf.DUMMYFUNCTION("""COMPUTED_VALUE"""),"Algebră liniară (prel), P. Sârbu, 218/4")</f>
        <v>Algebră liniară (prel), P. Sârbu, 218/4</v>
      </c>
      <c r="D25" s="13" t="str">
        <f ca="1">IFERROR(__xludf.DUMMYFUNCTION("""COMPUTED_VALUE"""),"Fund. Progr. (sem), 
M. Pavel, 415/4")</f>
        <v>Fund. Progr. (sem), 
M. Pavel, 415/4</v>
      </c>
      <c r="E25" s="13" t="str">
        <f ca="1">IFERROR(__xludf.DUMMYFUNCTION("""COMPUTED_VALUE""")," I: Sec. cibern. (lab), 
I. Tican, 7/2a
 II: Sisteme operare (lab), 
M. Butnaru, 9/2a")</f>
        <v xml:space="preserve"> I: Sec. cibern. (lab), 
I. Tican, 7/2a
 II: Sisteme operare (lab), 
M. Butnaru, 9/2a</v>
      </c>
      <c r="F25" s="13" t="str">
        <f ca="1">IFERROR(__xludf.DUMMYFUNCTION("""COMPUTED_VALUE"""),"Sec. cibern. (lab), 
I. Tican, 7/2a")</f>
        <v>Sec. cibern. (lab), 
I. Tican, 7/2a</v>
      </c>
      <c r="G25" s="14" t="str">
        <f ca="1">IFERROR(__xludf.DUMMYFUNCTION("""COMPUTED_VALUE"""),"Matem. (sem), 
V. Popa, 419/4")</f>
        <v>Matem. (sem), 
V. Popa, 419/4</v>
      </c>
      <c r="H25" s="12"/>
      <c r="I25" s="13"/>
      <c r="J25" s="13"/>
      <c r="K25" s="14" t="str">
        <f ca="1">IFERROR(__xludf.DUMMYFUNCTION("""COMPUTED_VALUE"""),"Rețele calc. (lab), 
E. Cuznețova, 239/4")</f>
        <v>Rețele calc. (lab), 
E. Cuznețova, 239/4</v>
      </c>
      <c r="L25" s="12"/>
      <c r="M25" s="14" t="str">
        <f ca="1">IFERROR(__xludf.DUMMYFUNCTION("""COMPUTED_VALUE"""),"S21 Containizare (lab), D. Borș, 254/4 
S22 React (lab), D. Negura, 411/4")</f>
        <v>S21 Containizare (lab), D. Borș, 254/4 
S22 React (lab), D. Negura, 411/4</v>
      </c>
      <c r="N25" s="12" t="str">
        <f ca="1">IFERROR(__xludf.DUMMYFUNCTION("""COMPUTED_VALUE"""),"Limb. form. aut. (lab), 
G. Sturza, 122/4")</f>
        <v>Limb. form. aut. (lab), 
G. Sturza, 122/4</v>
      </c>
      <c r="O25" s="14" t="str">
        <f ca="1">IFERROR(__xludf.DUMMYFUNCTION("""COMPUTED_VALUE"""),"Securitate BD (prel), 
O. Pașa, 317/4")</f>
        <v>Securitate BD (prel), 
O. Pașa, 317/4</v>
      </c>
    </row>
    <row r="26" spans="1:15" ht="79.2" x14ac:dyDescent="0.25">
      <c r="A26" s="30"/>
      <c r="B26" s="11" t="str">
        <f ca="1">IFERROR(__xludf.DUMMYFUNCTION("""COMPUTED_VALUE"""),"III
 11:30-13:00")</f>
        <v>III
 11:30-13:00</v>
      </c>
      <c r="C26" s="12" t="str">
        <f ca="1">IFERROR(__xludf.DUMMYFUNCTION("""COMPUTED_VALUE"""),"Algebră liniară (prel), P. Sârbu, 218/4")</f>
        <v>Algebră liniară (prel), P. Sârbu, 218/4</v>
      </c>
      <c r="D26" s="13" t="str">
        <f ca="1">IFERROR(__xludf.DUMMYFUNCTION("""COMPUTED_VALUE"""),"Matem. (sem), 
V. Popa, 415/4")</f>
        <v>Matem. (sem), 
V. Popa, 415/4</v>
      </c>
      <c r="E26" s="13" t="str">
        <f ca="1">IFERROR(__xludf.DUMMYFUNCTION("""COMPUTED_VALUE""")," I: HTML (lab), 
M. Butnaru, 9/2a
 II: Sec. cibern. (lab), 
I. Tican, 7/2a")</f>
        <v xml:space="preserve"> I: HTML (lab), 
M. Butnaru, 9/2a
 II: Sec. cibern. (lab), 
I. Tican, 7/2a</v>
      </c>
      <c r="F26" s="13" t="str">
        <f ca="1">IFERROR(__xludf.DUMMYFUNCTION("""COMPUTED_VALUE"""),"HTML (lab), 
M. Butnaru, 9/2a")</f>
        <v>HTML (lab), 
M. Butnaru, 9/2a</v>
      </c>
      <c r="G26" s="14" t="str">
        <f ca="1">IFERROR(__xludf.DUMMYFUNCTION("""COMPUTED_VALUE"""),"L. rom. (sem), 
E. Braguta, 419/4")</f>
        <v>L. rom. (sem), 
E. Braguta, 419/4</v>
      </c>
      <c r="H26" s="12"/>
      <c r="I26" s="13"/>
      <c r="J26" s="13"/>
      <c r="K26" s="14" t="str">
        <f ca="1">IFERROR(__xludf.DUMMYFUNCTION("""COMPUTED_VALUE"""),"Tehn. progr. (prel), 
I. Anghelova, 254/4")</f>
        <v>Tehn. progr. (prel), 
I. Anghelova, 254/4</v>
      </c>
      <c r="L26" s="12" t="str">
        <f ca="1">IFERROR(__xludf.DUMMYFUNCTION("""COMPUTED_VALUE"""),"S21 Containizare (lab), D. Borș, 143/4 
S22 React (lab), Cr. Crudu, 423/4 
S23 Dezv. joc. (lab), A. Șchiopu, 239/4")</f>
        <v>S21 Containizare (lab), D. Borș, 143/4 
S22 React (lab), Cr. Crudu, 423/4 
S23 Dezv. joc. (lab), A. Șchiopu, 239/4</v>
      </c>
      <c r="M26" s="14" t="str">
        <f ca="1">IFERROR(__xludf.DUMMYFUNCTION("""COMPUTED_VALUE"""),"S22 React (lab), D. Negura, 411/4")</f>
        <v>S22 React (lab), D. Negura, 411/4</v>
      </c>
      <c r="N26" s="12" t="str">
        <f ca="1">IFERROR(__xludf.DUMMYFUNCTION("""COMPUTED_VALUE"""),"Limb. form. aut. (lab), 
G. Sturza, 122/4")</f>
        <v>Limb. form. aut. (lab), 
G. Sturza, 122/4</v>
      </c>
      <c r="O26" s="14" t="str">
        <f ca="1">IFERROR(__xludf.DUMMYFUNCTION("""COMPUTED_VALUE"""),"Securitate BD (lab), 
O. Pașa, 216a/4a")</f>
        <v>Securitate BD (lab), 
O. Pașa, 216a/4a</v>
      </c>
    </row>
    <row r="27" spans="1:15" ht="79.2" x14ac:dyDescent="0.25">
      <c r="A27" s="30"/>
      <c r="B27" s="11" t="str">
        <f ca="1">IFERROR(__xludf.DUMMYFUNCTION("""COMPUTED_VALUE"""),"IV
 13:15-14:45")</f>
        <v>IV
 13:15-14:45</v>
      </c>
      <c r="C27" s="12" t="str">
        <f ca="1">IFERROR(__xludf.DUMMYFUNCTION("""COMPUTED_VALUE"""),"Geometrie analitică (sem), F. Damian, 218/4")</f>
        <v>Geometrie analitică (sem), F. Damian, 218/4</v>
      </c>
      <c r="D27" s="13" t="str">
        <f ca="1">IFERROR(__xludf.DUMMYFUNCTION("""COMPUTED_VALUE"""),"Matem. (sem), 
V. Popa, 415/4")</f>
        <v>Matem. (sem), 
V. Popa, 415/4</v>
      </c>
      <c r="E27" s="13" t="str">
        <f ca="1">IFERROR(__xludf.DUMMYFUNCTION("""COMPUTED_VALUE""")," I: HTML (lab), 
M. Butnaru, 9/2a")</f>
        <v xml:space="preserve"> I: HTML (lab), 
M. Butnaru, 9/2a</v>
      </c>
      <c r="F27" s="13" t="str">
        <f ca="1">IFERROR(__xludf.DUMMYFUNCTION("""COMPUTED_VALUE"""),"HTML (lab), 
M. Butnaru, 9/2a")</f>
        <v>HTML (lab), 
M. Butnaru, 9/2a</v>
      </c>
      <c r="G27" s="14" t="str">
        <f ca="1">IFERROR(__xludf.DUMMYFUNCTION("""COMPUTED_VALUE"""),"L. rom. (sem), 
E. Braguta, 419/4")</f>
        <v>L. rom. (sem), 
E. Braguta, 419/4</v>
      </c>
      <c r="H27" s="12"/>
      <c r="I27" s="13"/>
      <c r="J27" s="13"/>
      <c r="K27" s="14" t="str">
        <f ca="1">IFERROR(__xludf.DUMMYFUNCTION("""COMPUTED_VALUE"""),"Tehn. progr. (prel), 
I. Anghelova, 254/4")</f>
        <v>Tehn. progr. (prel), 
I. Anghelova, 254/4</v>
      </c>
      <c r="L27" s="12" t="str">
        <f ca="1">IFERROR(__xludf.DUMMYFUNCTION("""COMPUTED_VALUE"""),"S21 Containizare (prel), D. Borș, 143/4 
S22 React (prel), Cr. Crudu, 423/4
S23 Dezv. joc. (prel), A. Șchiopu, 239/4")</f>
        <v>S21 Containizare (prel), D. Borș, 143/4 
S22 React (prel), Cr. Crudu, 423/4
S23 Dezv. joc. (prel), A. Șchiopu, 239/4</v>
      </c>
      <c r="M27" s="14" t="str">
        <f ca="1">IFERROR(__xludf.DUMMYFUNCTION("""COMPUTED_VALUE"""),"S1 Spring (prel), M. Dodi, 145a/4")</f>
        <v>S1 Spring (prel), M. Dodi, 145a/4</v>
      </c>
      <c r="N27" s="12" t="str">
        <f ca="1">IFERROR(__xludf.DUMMYFUNCTION("""COMPUTED_VALUE"""),"Secur. aplic. web (prel), 
I. Tican, 218/4a")</f>
        <v>Secur. aplic. web (prel), 
I. Tican, 218/4a</v>
      </c>
      <c r="O27" s="14" t="str">
        <f ca="1">IFERROR(__xludf.DUMMYFUNCTION("""COMPUTED_VALUE"""),"Limb. form. aut. (lab), 
G. Sturza, 216a/4a")</f>
        <v>Limb. form. aut. (lab), 
G. Sturza, 216a/4a</v>
      </c>
    </row>
    <row r="28" spans="1:15" ht="39.6" x14ac:dyDescent="0.25">
      <c r="A28" s="30"/>
      <c r="B28" s="11" t="str">
        <f ca="1">IFERROR(__xludf.DUMMYFUNCTION("""COMPUTED_VALUE""")," V
15:00-16:30")</f>
        <v xml:space="preserve"> V
15:00-16:30</v>
      </c>
      <c r="C28" s="12" t="str">
        <f ca="1">IFERROR(__xludf.DUMMYFUNCTION("""COMPUTED_VALUE"""),"Geometrie analitică (sem), F. Damian, 218/4")</f>
        <v>Geometrie analitică (sem), F. Damian, 218/4</v>
      </c>
      <c r="D28" s="13"/>
      <c r="E28" s="13" t="str">
        <f ca="1">IFERROR(__xludf.DUMMYFUNCTION("""COMPUTED_VALUE""")," II: HTML (lab), 
M. Butnaru, 9/2a")</f>
        <v xml:space="preserve"> II: HTML (lab), 
M. Butnaru, 9/2a</v>
      </c>
      <c r="F28" s="13"/>
      <c r="G28" s="14"/>
      <c r="H28" s="12" t="str">
        <f ca="1">IFERROR(__xludf.DUMMYFUNCTION("""COMPUTED_VALUE"""),"Rețele calc. (lab), 
D. Borș, 237/4")</f>
        <v>Rețele calc. (lab), 
D. Borș, 237/4</v>
      </c>
      <c r="I28" s="13"/>
      <c r="J28" s="13"/>
      <c r="K28" s="14"/>
      <c r="L28" s="12"/>
      <c r="M28" s="14" t="str">
        <f ca="1">IFERROR(__xludf.DUMMYFUNCTION("""COMPUTED_VALUE"""),"S1 Spring (lab), M. Dodi, 251/4")</f>
        <v>S1 Spring (lab), M. Dodi, 251/4</v>
      </c>
      <c r="N28" s="12" t="str">
        <f ca="1">IFERROR(__xludf.DUMMYFUNCTION("""COMPUTED_VALUE"""),"Secur. aplic. web (lab), 
I. Tican, 218/4a")</f>
        <v>Secur. aplic. web (lab), 
I. Tican, 218/4a</v>
      </c>
      <c r="O28" s="14" t="str">
        <f ca="1">IFERROR(__xludf.DUMMYFUNCTION("""COMPUTED_VALUE"""),"Limb. form. aut. (lab), 
G. Sturza, 216a/4a")</f>
        <v>Limb. form. aut. (lab), 
G. Sturza, 216a/4a</v>
      </c>
    </row>
    <row r="29" spans="1:15" ht="26.4" x14ac:dyDescent="0.25">
      <c r="A29" s="31"/>
      <c r="B29" s="15" t="str">
        <f ca="1">IFERROR(__xludf.DUMMYFUNCTION("""COMPUTED_VALUE"""),"VI
 16:45-18:15")</f>
        <v>VI
 16:45-18:15</v>
      </c>
      <c r="C29" s="16"/>
      <c r="D29" s="17"/>
      <c r="E29" s="17" t="str">
        <f ca="1">IFERROR(__xludf.DUMMYFUNCTION("""COMPUTED_VALUE""")," II: HTML (lab), 
M. Butnaru, 9/2a")</f>
        <v xml:space="preserve"> II: HTML (lab), 
M. Butnaru, 9/2a</v>
      </c>
      <c r="F29" s="17"/>
      <c r="G29" s="18"/>
      <c r="H29" s="16" t="str">
        <f ca="1">IFERROR(__xludf.DUMMYFUNCTION("""COMPUTED_VALUE"""),"Rețele calc. (lab), 
D. Borș, 237/4")</f>
        <v>Rețele calc. (lab), 
D. Borș, 237/4</v>
      </c>
      <c r="I29" s="17"/>
      <c r="J29" s="17"/>
      <c r="K29" s="18"/>
      <c r="L29" s="16"/>
      <c r="M29" s="18"/>
      <c r="N29" s="16"/>
      <c r="O29" s="18"/>
    </row>
    <row r="30" spans="1:15" ht="79.2" x14ac:dyDescent="0.25">
      <c r="A30" s="29" t="str">
        <f ca="1">IFERROR(__xludf.DUMMYFUNCTION("""COMPUTED_VALUE"""),"Duminică,
30.11.2025")</f>
        <v>Duminică,
30.11.2025</v>
      </c>
      <c r="B30" s="19" t="str">
        <f ca="1">IFERROR(__xludf.DUMMYFUNCTION("""COMPUTED_VALUE"""),"I
 08:00-9:30")</f>
        <v>I
 08:00-9:30</v>
      </c>
      <c r="C30" s="20"/>
      <c r="D30" s="21" t="str">
        <f ca="1">IFERROR(__xludf.DUMMYFUNCTION("""COMPUTED_VALUE""")," II: Sec. cibern. (lab), 
I. Tican, 145/4")</f>
        <v xml:space="preserve"> II: Sec. cibern. (lab), 
I. Tican, 145/4</v>
      </c>
      <c r="E30" s="21"/>
      <c r="F30" s="21"/>
      <c r="G30" s="22"/>
      <c r="H30" s="20"/>
      <c r="I30" s="21"/>
      <c r="J30" s="21"/>
      <c r="K30" s="22" t="str">
        <f ca="1">IFERROR(__xludf.DUMMYFUNCTION("""COMPUTED_VALUE"""),"BD (lab), 
V. Trebiș, 237/4")</f>
        <v>BD (lab), 
V. Trebiș, 237/4</v>
      </c>
      <c r="L30" s="20" t="str">
        <f ca="1">IFERROR(__xludf.DUMMYFUNCTION("""COMPUTED_VALUE"""),"S21 Containizare (lab), D. Borș, 143/4 
S22 React (lab), Cr. Crudu, 423/4 
S23 Dezv. joc. (lab), A. Șchiopu, 350/4 ")</f>
        <v xml:space="preserve">S21 Containizare (lab), D. Borș, 143/4 
S22 React (lab), Cr. Crudu, 423/4 
S23 Dezv. joc. (lab), A. Șchiopu, 350/4 </v>
      </c>
      <c r="M30" s="22"/>
      <c r="N30" s="20"/>
      <c r="O30" s="22"/>
    </row>
    <row r="31" spans="1:15" ht="79.2" x14ac:dyDescent="0.25">
      <c r="A31" s="30"/>
      <c r="B31" s="11" t="str">
        <f ca="1">IFERROR(__xludf.DUMMYFUNCTION("""COMPUTED_VALUE"""),"II
 09:45-11:15")</f>
        <v>II
 09:45-11:15</v>
      </c>
      <c r="C31" s="12" t="str">
        <f ca="1">IFERROR(__xludf.DUMMYFUNCTION("""COMPUTED_VALUE"""),"Calc. dif. şi int. (sem), G. Râbacova, 218/4")</f>
        <v>Calc. dif. şi int. (sem), G. Râbacova, 218/4</v>
      </c>
      <c r="D31" s="13" t="str">
        <f ca="1">IFERROR(__xludf.DUMMYFUNCTION("""COMPUTED_VALUE""")," II: Sec. cibern. (lab), 
I. Tican, 145/4")</f>
        <v xml:space="preserve"> II: Sec. cibern. (lab), 
I. Tican, 145/4</v>
      </c>
      <c r="E31" s="13" t="str">
        <f ca="1">IFERROR(__xludf.DUMMYFUNCTION("""COMPUTED_VALUE"""),"Fund. Progr. (sem), 
M. Pavel, 415/4")</f>
        <v>Fund. Progr. (sem), 
M. Pavel, 415/4</v>
      </c>
      <c r="F31" s="13" t="str">
        <f ca="1">IFERROR(__xludf.DUMMYFUNCTION("""COMPUTED_VALUE"""),"Fund. Progr. (sem), 
M. Pavel, 415/4")</f>
        <v>Fund. Progr. (sem), 
M. Pavel, 415/4</v>
      </c>
      <c r="G31" s="14" t="str">
        <f ca="1">IFERROR(__xludf.DUMMYFUNCTION("""COMPUTED_VALUE"""),"Matem. (sem), 
V. Popa, 419/4")</f>
        <v>Matem. (sem), 
V. Popa, 419/4</v>
      </c>
      <c r="H31" s="12"/>
      <c r="I31" s="13"/>
      <c r="J31" s="13"/>
      <c r="K31" s="14" t="str">
        <f ca="1">IFERROR(__xludf.DUMMYFUNCTION("""COMPUTED_VALUE"""),"BD (lab), 
V. Trebiș, 237/4")</f>
        <v>BD (lab), 
V. Trebiș, 237/4</v>
      </c>
      <c r="L31" s="12" t="str">
        <f ca="1">IFERROR(__xludf.DUMMYFUNCTION("""COMPUTED_VALUE"""),"S21 Containizare (lab), D. Borș, 143/4 
S22 React (lab), Cr. Crudu, 423/4 
S23 Dezv. joc. (lab), A. Șchiopu, 350/4 ")</f>
        <v xml:space="preserve">S21 Containizare (lab), D. Borș, 143/4 
S22 React (lab), Cr. Crudu, 423/4 
S23 Dezv. joc. (lab), A. Șchiopu, 350/4 </v>
      </c>
      <c r="M31" s="14" t="str">
        <f ca="1">IFERROR(__xludf.DUMMYFUNCTION("""COMPUTED_VALUE"""),"S1 Spring (lab), M. Dodi, 216a/4a")</f>
        <v>S1 Spring (lab), M. Dodi, 216a/4a</v>
      </c>
      <c r="N31" s="12" t="str">
        <f ca="1">IFERROR(__xludf.DUMMYFUNCTION("""COMPUTED_VALUE"""),"Secur. aplic. web (lab), 
I. Tican, 218/4a")</f>
        <v>Secur. aplic. web (lab), 
I. Tican, 218/4a</v>
      </c>
      <c r="O31" s="14" t="str">
        <f ca="1">IFERROR(__xludf.DUMMYFUNCTION("""COMPUTED_VALUE"""),"Securitate BD (prel), 
O. Pașa, 219/4a")</f>
        <v>Securitate BD (prel), 
O. Pașa, 219/4a</v>
      </c>
    </row>
    <row r="32" spans="1:15" ht="52.8" x14ac:dyDescent="0.25">
      <c r="A32" s="30"/>
      <c r="B32" s="11" t="str">
        <f ca="1">IFERROR(__xludf.DUMMYFUNCTION("""COMPUTED_VALUE"""),"III
 11:30-13:00")</f>
        <v>III
 11:30-13:00</v>
      </c>
      <c r="C32" s="12" t="str">
        <f ca="1">IFERROR(__xludf.DUMMYFUNCTION("""COMPUTED_VALUE"""),"Calc. dif. şi int. (sem), G. Râbacova, 218/4")</f>
        <v>Calc. dif. şi int. (sem), G. Râbacova, 218/4</v>
      </c>
      <c r="D32" s="13" t="str">
        <f ca="1">IFERROR(__xludf.DUMMYFUNCTION("""COMPUTED_VALUE""")," I: Sec. cibern. (lab), 
I. Tican, 145/4")</f>
        <v xml:space="preserve"> I: Sec. cibern. (lab), 
I. Tican, 145/4</v>
      </c>
      <c r="E32" s="13" t="str">
        <f ca="1">IFERROR(__xludf.DUMMYFUNCTION("""COMPUTED_VALUE"""),"Fund. Progr. (sem), 
M. Pavel, 415/4")</f>
        <v>Fund. Progr. (sem), 
M. Pavel, 415/4</v>
      </c>
      <c r="F32" s="13" t="str">
        <f ca="1">IFERROR(__xludf.DUMMYFUNCTION("""COMPUTED_VALUE"""),"Fund. Progr. (sem), 
M. Pavel, 415/4")</f>
        <v>Fund. Progr. (sem), 
M. Pavel, 415/4</v>
      </c>
      <c r="G32" s="14" t="str">
        <f ca="1">IFERROR(__xludf.DUMMYFUNCTION("""COMPUTED_VALUE"""),"Matem. (sem), 
V. Popa, 419/4")</f>
        <v>Matem. (sem), 
V. Popa, 419/4</v>
      </c>
      <c r="H32" s="12" t="str">
        <f ca="1">IFERROR(__xludf.DUMMYFUNCTION("""COMPUTED_VALUE"""),"BD (lab), 
M. Dumitraș, 145A/4")</f>
        <v>BD (lab), 
M. Dumitraș, 145A/4</v>
      </c>
      <c r="I32" s="13" t="str">
        <f ca="1">IFERROR(__xludf.DUMMYFUNCTION("""COMPUTED_VALUE"""),"Rețele calc. (lab), 
D. Borș, 143/4")</f>
        <v>Rețele calc. (lab), 
D. Borș, 143/4</v>
      </c>
      <c r="J32" s="13" t="str">
        <f ca="1">IFERROR(__xludf.DUMMYFUNCTION("""COMPUTED_VALUE"""),"Rețele calc. (lab), 
D. Borș,143 /4")</f>
        <v>Rețele calc. (lab), 
D. Borș,143 /4</v>
      </c>
      <c r="K32" s="14" t="str">
        <f ca="1">IFERROR(__xludf.DUMMYFUNCTION("""COMPUTED_VALUE"""),"Tehn. progr. (lab), 
I. Anghelova, 237/4")</f>
        <v>Tehn. progr. (lab), 
I. Anghelova, 237/4</v>
      </c>
      <c r="L32" s="12" t="str">
        <f ca="1">IFERROR(__xludf.DUMMYFUNCTION("""COMPUTED_VALUE"""),"S11 Spring (lab), M. Dodi, 423/4 
S12 GA 3D (lab), E. Arseni, 350/4 ")</f>
        <v xml:space="preserve">S11 Spring (lab), M. Dodi, 423/4 
S12 GA 3D (lab), E. Arseni, 350/4 </v>
      </c>
      <c r="M32" s="14" t="str">
        <f ca="1">IFERROR(__xludf.DUMMYFUNCTION("""COMPUTED_VALUE"""),"S1 Spring (lab), M. Dodi, 216a/4a")</f>
        <v>S1 Spring (lab), M. Dodi, 216a/4a</v>
      </c>
      <c r="N32" s="12" t="str">
        <f ca="1">IFERROR(__xludf.DUMMYFUNCTION("""COMPUTED_VALUE"""),"Secur. aplic. web (lab), 
I. Tican, 218/4a")</f>
        <v>Secur. aplic. web (lab), 
I. Tican, 218/4a</v>
      </c>
      <c r="O32" s="14" t="str">
        <f ca="1">IFERROR(__xludf.DUMMYFUNCTION("""COMPUTED_VALUE"""),"Securitate BD (lab), 
O. Pașa, 219/4a")</f>
        <v>Securitate BD (lab), 
O. Pașa, 219/4a</v>
      </c>
    </row>
    <row r="33" spans="1:15" ht="52.8" x14ac:dyDescent="0.25">
      <c r="A33" s="30"/>
      <c r="B33" s="11" t="str">
        <f ca="1">IFERROR(__xludf.DUMMYFUNCTION("""COMPUTED_VALUE"""),"IV
 13:15-14:45")</f>
        <v>IV
 13:15-14:45</v>
      </c>
      <c r="C33" s="12" t="str">
        <f ca="1">IFERROR(__xludf.DUMMYFUNCTION("""COMPUTED_VALUE"""),"Algebră liniară (sem), P. Sârbu, 218/4")</f>
        <v>Algebră liniară (sem), P. Sârbu, 218/4</v>
      </c>
      <c r="D33" s="13" t="str">
        <f ca="1">IFERROR(__xludf.DUMMYFUNCTION("""COMPUTED_VALUE""")," I: Sec. cibern. (lab), 
I. Tican, 145/4")</f>
        <v xml:space="preserve"> I: Sec. cibern. (lab), 
I. Tican, 145/4</v>
      </c>
      <c r="E33" s="13"/>
      <c r="F33" s="13"/>
      <c r="G33" s="14" t="str">
        <f ca="1">IFERROR(__xludf.DUMMYFUNCTION("""COMPUTED_VALUE"""),"Fund. Progr. (sem), 
D. Borș, 419/4")</f>
        <v>Fund. Progr. (sem), 
D. Borș, 419/4</v>
      </c>
      <c r="H33" s="12" t="str">
        <f ca="1">IFERROR(__xludf.DUMMYFUNCTION("""COMPUTED_VALUE"""),"BD (lab), 
M. Dumitraș, 145A/4")</f>
        <v>BD (lab), 
M. Dumitraș, 145A/4</v>
      </c>
      <c r="I33" s="13" t="str">
        <f ca="1">IFERROR(__xludf.DUMMYFUNCTION("""COMPUTED_VALUE"""),"Rețele calc. (lab), 
D. Borș, 143/4")</f>
        <v>Rețele calc. (lab), 
D. Borș, 143/4</v>
      </c>
      <c r="J33" s="13" t="str">
        <f ca="1">IFERROR(__xludf.DUMMYFUNCTION("""COMPUTED_VALUE"""),"Rețele calc. (lab), 
D. Borș,143 /4")</f>
        <v>Rețele calc. (lab), 
D. Borș,143 /4</v>
      </c>
      <c r="K33" s="14" t="str">
        <f ca="1">IFERROR(__xludf.DUMMYFUNCTION("""COMPUTED_VALUE"""),"Tehn. progr. (lab), 
I. Anghelova, 237/4")</f>
        <v>Tehn. progr. (lab), 
I. Anghelova, 237/4</v>
      </c>
      <c r="L33" s="12" t="str">
        <f ca="1">IFERROR(__xludf.DUMMYFUNCTION("""COMPUTED_VALUE"""),"S11 Spring (lab), M. Dodi, 423/4 
S12 GA 3D (lab), E. Arseni, 350/4 ")</f>
        <v xml:space="preserve">S11 Spring (lab), M. Dodi, 423/4 
S12 GA 3D (lab), E. Arseni, 350/4 </v>
      </c>
      <c r="M33" s="14"/>
      <c r="N33" s="12" t="str">
        <f ca="1">IFERROR(__xludf.DUMMYFUNCTION("""COMPUTED_VALUE"""),"Securitate BD (prel), 
O. Pașa, 218/4a")</f>
        <v>Securitate BD (prel), 
O. Pașa, 218/4a</v>
      </c>
      <c r="O33" s="14" t="str">
        <f ca="1">IFERROR(__xludf.DUMMYFUNCTION("""COMPUTED_VALUE"""),"Framework web (lab), 
V. Vișnevschi, 219/4a")</f>
        <v>Framework web (lab), 
V. Vișnevschi, 219/4a</v>
      </c>
    </row>
    <row r="34" spans="1:15" ht="26.4" x14ac:dyDescent="0.25">
      <c r="A34" s="30"/>
      <c r="B34" s="11" t="str">
        <f ca="1">IFERROR(__xludf.DUMMYFUNCTION("""COMPUTED_VALUE""")," V
15:00-16:30")</f>
        <v xml:space="preserve"> V
15:00-16:30</v>
      </c>
      <c r="C34" s="12" t="str">
        <f ca="1">IFERROR(__xludf.DUMMYFUNCTION("""COMPUTED_VALUE"""),"Algebră liniară (prel), P. Sârbu, 218/4")</f>
        <v>Algebră liniară (prel), P. Sârbu, 218/4</v>
      </c>
      <c r="D34" s="13"/>
      <c r="E34" s="13"/>
      <c r="F34" s="13"/>
      <c r="G34" s="14"/>
      <c r="H34" s="12" t="str">
        <f ca="1">IFERROR(__xludf.DUMMYFUNCTION("""COMPUTED_VALUE"""),"Tehn. progr. (lab), 
D. Borș, 143/4")</f>
        <v>Tehn. progr. (lab), 
D. Borș, 143/4</v>
      </c>
      <c r="I34" s="13"/>
      <c r="J34" s="13"/>
      <c r="K34" s="14"/>
      <c r="L34" s="12"/>
      <c r="M34" s="14"/>
      <c r="N34" s="12" t="str">
        <f ca="1">IFERROR(__xludf.DUMMYFUNCTION("""COMPUTED_VALUE"""),"Securitate BD (lab), 
O. Pașa, 218/4a")</f>
        <v>Securitate BD (lab), 
O. Pașa, 218/4a</v>
      </c>
      <c r="O34" s="14" t="str">
        <f ca="1">IFERROR(__xludf.DUMMYFUNCTION("""COMPUTED_VALUE"""),"Framework web (lab), 
V. Vișnevschi, 219/4a")</f>
        <v>Framework web (lab), 
V. Vișnevschi, 219/4a</v>
      </c>
    </row>
    <row r="35" spans="1:15" ht="26.4" x14ac:dyDescent="0.25">
      <c r="A35" s="30"/>
      <c r="B35" s="11" t="str">
        <f ca="1">IFERROR(__xludf.DUMMYFUNCTION("""COMPUTED_VALUE"""),"VI
 16:45-18:15")</f>
        <v>VI
 16:45-18:15</v>
      </c>
      <c r="C35" s="12"/>
      <c r="D35" s="13"/>
      <c r="E35" s="13"/>
      <c r="F35" s="13"/>
      <c r="G35" s="14"/>
      <c r="H35" s="12" t="str">
        <f ca="1">IFERROR(__xludf.DUMMYFUNCTION("""COMPUTED_VALUE"""),"Tehn. progr. (lab), 
D. Borș, 143/4")</f>
        <v>Tehn. progr. (lab), 
D. Borș, 143/4</v>
      </c>
      <c r="I35" s="13"/>
      <c r="J35" s="13"/>
      <c r="K35" s="14"/>
      <c r="L35" s="12"/>
      <c r="M35" s="14"/>
      <c r="N35" s="12"/>
      <c r="O35" s="14"/>
    </row>
    <row r="36" spans="1:15" ht="26.4" x14ac:dyDescent="0.25">
      <c r="A36" s="29" t="str">
        <f ca="1">IFERROR(__xludf.DUMMYFUNCTION("""COMPUTED_VALUE"""),"Luni,
01.12.2025")</f>
        <v>Luni,
01.12.2025</v>
      </c>
      <c r="B36" s="19" t="str">
        <f ca="1">IFERROR(__xludf.DUMMYFUNCTION("""COMPUTED_VALUE""")," I
15:00-16:30")</f>
        <v xml:space="preserve"> I
15:00-16:30</v>
      </c>
      <c r="C36" s="20"/>
      <c r="D36" s="21" t="str">
        <f ca="1">IFERROR(__xludf.DUMMYFUNCTION("""COMPUTED_VALUE""")," II: HTML (lab), 
M. Butnaru, 326/4")</f>
        <v xml:space="preserve"> II: HTML (lab), 
M. Butnaru, 326/4</v>
      </c>
      <c r="E36" s="21"/>
      <c r="F36" s="21"/>
      <c r="G36" s="22"/>
      <c r="H36" s="20"/>
      <c r="I36" s="21" t="str">
        <f ca="1">IFERROR(__xludf.DUMMYFUNCTION("""COMPUTED_VALUE"""),"Rețele calc. (lab), 
D. Borș, 218/4a")</f>
        <v>Rețele calc. (lab), 
D. Borș, 218/4a</v>
      </c>
      <c r="J36" s="21" t="str">
        <f ca="1">IFERROR(__xludf.DUMMYFUNCTION("""COMPUTED_VALUE"""),"Rețele calc. (lab), 
D. Borș, 218/4a")</f>
        <v>Rețele calc. (lab), 
D. Borș, 218/4a</v>
      </c>
      <c r="K36" s="22"/>
      <c r="L36" s="20"/>
      <c r="M36" s="22"/>
      <c r="N36" s="20"/>
      <c r="O36" s="22"/>
    </row>
    <row r="37" spans="1:15" ht="52.8" x14ac:dyDescent="0.25">
      <c r="A37" s="30"/>
      <c r="B37" s="11" t="str">
        <f ca="1">IFERROR(__xludf.DUMMYFUNCTION("""COMPUTED_VALUE""")," II
16:45-18:15")</f>
        <v xml:space="preserve"> II
16:45-18:15</v>
      </c>
      <c r="C37" s="12" t="str">
        <f ca="1">IFERROR(__xludf.DUMMYFUNCTION("""COMPUTED_VALUE"""),"Geometrie analitică (sem), F. Damian, 218/4")</f>
        <v>Geometrie analitică (sem), F. Damian, 218/4</v>
      </c>
      <c r="D37" s="13" t="str">
        <f ca="1">IFERROR(__xludf.DUMMYFUNCTION("""COMPUTED_VALUE""")," I: Sec. cibern. (lab), 
I. Tican, 251/4
 II: HTML (lab), 
M. Butnaru, 326/4")</f>
        <v xml:space="preserve"> I: Sec. cibern. (lab), 
I. Tican, 251/4
 II: HTML (lab), 
M. Butnaru, 326/4</v>
      </c>
      <c r="E37" s="13"/>
      <c r="F37" s="13"/>
      <c r="G37" s="14"/>
      <c r="H37" s="12"/>
      <c r="I37" s="13" t="str">
        <f ca="1">IFERROR(__xludf.DUMMYFUNCTION("""COMPUTED_VALUE"""),"Tehn. progr. (lab), 
D. Borș, 218/4a")</f>
        <v>Tehn. progr. (lab), 
D. Borș, 218/4a</v>
      </c>
      <c r="J37" s="13" t="str">
        <f ca="1">IFERROR(__xludf.DUMMYFUNCTION("""COMPUTED_VALUE"""),"Tehn. progr. (lab), 
D. Borș, 218/4a")</f>
        <v>Tehn. progr. (lab), 
D. Borș, 218/4a</v>
      </c>
      <c r="K37" s="14"/>
      <c r="L37" s="12"/>
      <c r="M37" s="14"/>
      <c r="N37" s="12"/>
      <c r="O37" s="14"/>
    </row>
    <row r="38" spans="1:15" ht="52.8" x14ac:dyDescent="0.25">
      <c r="A38" s="31"/>
      <c r="B38" s="15" t="str">
        <f ca="1">IFERROR(__xludf.DUMMYFUNCTION("""COMPUTED_VALUE"""),"III
18:30-20:00")</f>
        <v>III
18:30-20:00</v>
      </c>
      <c r="C38" s="16" t="str">
        <f ca="1">IFERROR(__xludf.DUMMYFUNCTION("""COMPUTED_VALUE"""),"Algebră liniară (sem), P. Sârbu, 218/4")</f>
        <v>Algebră liniară (sem), P. Sârbu, 218/4</v>
      </c>
      <c r="D38" s="17" t="str">
        <f ca="1">IFERROR(__xludf.DUMMYFUNCTION("""COMPUTED_VALUE""")," II: Sec. cibern. (lab), 
I. Tican, 251/4
 I: HTML (lab), 
M. Butnaru, 326/4")</f>
        <v xml:space="preserve"> II: Sec. cibern. (lab), 
I. Tican, 251/4
 I: HTML (lab), 
M. Butnaru, 326/4</v>
      </c>
      <c r="E38" s="17"/>
      <c r="F38" s="17"/>
      <c r="G38" s="18"/>
      <c r="H38" s="16"/>
      <c r="I38" s="17" t="str">
        <f ca="1">IFERROR(__xludf.DUMMYFUNCTION("""COMPUTED_VALUE"""),"Tehn. progr. (lab), 
D. Borș, 218/4a")</f>
        <v>Tehn. progr. (lab), 
D. Borș, 218/4a</v>
      </c>
      <c r="J38" s="17" t="str">
        <f ca="1">IFERROR(__xludf.DUMMYFUNCTION("""COMPUTED_VALUE"""),"Tehn. progr. (lab), 
D. Borș, 218/4a")</f>
        <v>Tehn. progr. (lab), 
D. Borș, 218/4a</v>
      </c>
      <c r="K38" s="18"/>
      <c r="L38" s="16" t="str">
        <f ca="1">IFERROR(__xludf.DUMMYFUNCTION("""COMPUTED_VALUE"""),"S11 Spring (prel), M. Dodi, 219/4a")</f>
        <v>S11 Spring (prel), M. Dodi, 219/4a</v>
      </c>
      <c r="M38" s="18"/>
      <c r="N38" s="16"/>
      <c r="O38" s="18"/>
    </row>
    <row r="39" spans="1:15" ht="13.2" x14ac:dyDescent="0.25">
      <c r="A39" s="29" t="str">
        <f ca="1">IFERROR(__xludf.DUMMYFUNCTION("""COMPUTED_VALUE"""),"Marți,
02.12.2025")</f>
        <v>Marți,
02.12.2025</v>
      </c>
      <c r="B39" s="19" t="str">
        <f ca="1">IFERROR(__xludf.DUMMYFUNCTION("""COMPUTED_VALUE"""),"13:15-14:45")</f>
        <v>13:15-14:45</v>
      </c>
      <c r="C39" s="20"/>
      <c r="D39" s="21"/>
      <c r="E39" s="21"/>
      <c r="F39" s="21"/>
      <c r="G39" s="22"/>
      <c r="H39" s="20"/>
      <c r="I39" s="21"/>
      <c r="J39" s="21"/>
      <c r="K39" s="22"/>
      <c r="L39" s="20"/>
      <c r="M39" s="22"/>
      <c r="N39" s="20"/>
      <c r="O39" s="22"/>
    </row>
    <row r="40" spans="1:15" ht="26.4" x14ac:dyDescent="0.25">
      <c r="A40" s="30"/>
      <c r="B40" s="11" t="str">
        <f ca="1">IFERROR(__xludf.DUMMYFUNCTION("""COMPUTED_VALUE""")," I
15:00-16:30")</f>
        <v xml:space="preserve"> I
15:00-16:30</v>
      </c>
      <c r="C40" s="12" t="str">
        <f ca="1">IFERROR(__xludf.DUMMYFUNCTION("""COMPUTED_VALUE"""),"Calc. dif. şi int. (prel), G. Râbacova, 218/4")</f>
        <v>Calc. dif. şi int. (prel), G. Râbacova, 218/4</v>
      </c>
      <c r="D40" s="13"/>
      <c r="E40" s="13"/>
      <c r="F40" s="13"/>
      <c r="G40" s="14" t="str">
        <f ca="1">IFERROR(__xludf.DUMMYFUNCTION("""COMPUTED_VALUE""")," II: Fund. Progr. (lab), 
D. Borș, 237/4")</f>
        <v xml:space="preserve"> II: Fund. Progr. (lab), 
D. Borș, 237/4</v>
      </c>
      <c r="H40" s="12"/>
      <c r="I40" s="13"/>
      <c r="J40" s="13"/>
      <c r="K40" s="14"/>
      <c r="L40" s="12"/>
      <c r="M40" s="14"/>
      <c r="N40" s="12"/>
      <c r="O40" s="14"/>
    </row>
    <row r="41" spans="1:15" ht="39.6" x14ac:dyDescent="0.25">
      <c r="A41" s="30"/>
      <c r="B41" s="11" t="str">
        <f ca="1">IFERROR(__xludf.DUMMYFUNCTION("""COMPUTED_VALUE"""),"II
16:45-18:15")</f>
        <v>II
16:45-18:15</v>
      </c>
      <c r="C41" s="12" t="str">
        <f ca="1">IFERROR(__xludf.DUMMYFUNCTION("""COMPUTED_VALUE"""),"Calc. dif. şi int. (sem), G. Râbacova, 218/4")</f>
        <v>Calc. dif. şi int. (sem), G. Râbacova, 218/4</v>
      </c>
      <c r="D41" s="13"/>
      <c r="E41" s="13"/>
      <c r="F41" s="13"/>
      <c r="G41" s="14" t="str">
        <f ca="1">IFERROR(__xludf.DUMMYFUNCTION("""COMPUTED_VALUE""")," II: Fund. Progr. (lab), 
D. Borș, 237/4")</f>
        <v xml:space="preserve"> II: Fund. Progr. (lab), 
D. Borș, 237/4</v>
      </c>
      <c r="H41" s="23" t="str">
        <f ca="1">IFERROR(__xludf.DUMMYFUNCTION("""COMPUTED_VALUE"""),"L. str. (exam), 
G. Ciudin, 404/4")</f>
        <v>L. str. (exam), 
G. Ciudin, 404/4</v>
      </c>
      <c r="I41" s="24" t="str">
        <f ca="1">IFERROR(__xludf.DUMMYFUNCTION("""COMPUTED_VALUE"""),"L. str. (exam), 
G. Ciudin, 404/4")</f>
        <v>L. str. (exam), 
G. Ciudin, 404/4</v>
      </c>
      <c r="J41" s="24" t="str">
        <f ca="1">IFERROR(__xludf.DUMMYFUNCTION("""COMPUTED_VALUE"""),"L. str. (exam), 
G. Ciudin, 404/4")</f>
        <v>L. str. (exam), 
G. Ciudin, 404/4</v>
      </c>
      <c r="K41" s="25" t="str">
        <f ca="1">IFERROR(__xludf.DUMMYFUNCTION("""COMPUTED_VALUE"""),"L. str. (exam), 
G. Ciudin, 404/4")</f>
        <v>L. str. (exam), 
G. Ciudin, 404/4</v>
      </c>
      <c r="L41" s="23" t="str">
        <f ca="1">IFERROR(__xludf.DUMMYFUNCTION("""COMPUTED_VALUE"""),"Dezv. web PHP (exam), 
B. Vișnevschi, 214/4")</f>
        <v>Dezv. web PHP (exam), 
B. Vișnevschi, 214/4</v>
      </c>
      <c r="M41" s="25" t="str">
        <f ca="1">IFERROR(__xludf.DUMMYFUNCTION("""COMPUTED_VALUE"""),"Dezv. web PHP (exam), 
B. Vișnevschi, 214/4")</f>
        <v>Dezv. web PHP (exam), 
B. Vișnevschi, 214/4</v>
      </c>
      <c r="N41" s="23" t="str">
        <f ca="1">IFERROR(__xludf.DUMMYFUNCTION("""COMPUTED_VALUE"""),"Securitate BD (exam), 
O. Pașa, 326/4")</f>
        <v>Securitate BD (exam), 
O. Pașa, 326/4</v>
      </c>
      <c r="O41" s="25" t="str">
        <f ca="1">IFERROR(__xludf.DUMMYFUNCTION("""COMPUTED_VALUE"""),"Securitate BD (exam), 
O. Pașa, 326/4")</f>
        <v>Securitate BD (exam), 
O. Pașa, 326/4</v>
      </c>
    </row>
    <row r="42" spans="1:15" ht="26.4" x14ac:dyDescent="0.25">
      <c r="A42" s="31"/>
      <c r="B42" s="15" t="str">
        <f ca="1">IFERROR(__xludf.DUMMYFUNCTION("""COMPUTED_VALUE""")," III
18:30-20:00")</f>
        <v xml:space="preserve"> III
18:30-20:00</v>
      </c>
      <c r="C42" s="16"/>
      <c r="D42" s="26" t="str">
        <f ca="1">IFERROR(__xludf.DUMMYFUNCTION("""COMPUTED_VALUE"""),"HTML (exam), 
M. Butnaru, 219/4a")</f>
        <v>HTML (exam), 
M. Butnaru, 219/4a</v>
      </c>
      <c r="E42" s="26" t="str">
        <f ca="1">IFERROR(__xludf.DUMMYFUNCTION("""COMPUTED_VALUE"""),"HTML (exam), 
N. Pleșca, 218/4a")</f>
        <v>HTML (exam), 
N. Pleșca, 218/4a</v>
      </c>
      <c r="F42" s="26" t="str">
        <f ca="1">IFERROR(__xludf.DUMMYFUNCTION("""COMPUTED_VALUE"""),"HTML (exam), 
N. Pleșca, 216a/4a")</f>
        <v>HTML (exam), 
N. Pleșca, 216a/4a</v>
      </c>
      <c r="G42" s="18" t="str">
        <f ca="1">IFERROR(__xludf.DUMMYFUNCTION("""COMPUTED_VALUE""")," II: Sec. cibern. (lab), 
D. Borș, 237/4")</f>
        <v xml:space="preserve"> II: Sec. cibern. (lab), 
D. Borș, 237/4</v>
      </c>
      <c r="H42" s="16"/>
      <c r="I42" s="17"/>
      <c r="J42" s="17"/>
      <c r="K42" s="18"/>
      <c r="L42" s="16"/>
      <c r="M42" s="18"/>
      <c r="N42" s="16"/>
      <c r="O42" s="18"/>
    </row>
    <row r="43" spans="1:15" ht="13.2" x14ac:dyDescent="0.25">
      <c r="A43" s="29" t="str">
        <f ca="1">IFERROR(__xludf.DUMMYFUNCTION("""COMPUTED_VALUE"""),"Miercuri,
03.12.2025")</f>
        <v>Miercuri,
03.12.2025</v>
      </c>
      <c r="B43" s="19" t="str">
        <f ca="1">IFERROR(__xludf.DUMMYFUNCTION("""COMPUTED_VALUE"""),"13:15-14:45")</f>
        <v>13:15-14:45</v>
      </c>
      <c r="C43" s="20"/>
      <c r="D43" s="21"/>
      <c r="E43" s="21"/>
      <c r="F43" s="21"/>
      <c r="G43" s="22"/>
      <c r="H43" s="20"/>
      <c r="I43" s="21"/>
      <c r="J43" s="21"/>
      <c r="K43" s="22"/>
      <c r="L43" s="20"/>
      <c r="M43" s="22"/>
      <c r="N43" s="20"/>
      <c r="O43" s="22"/>
    </row>
    <row r="44" spans="1:15" ht="39.6" x14ac:dyDescent="0.25">
      <c r="A44" s="30"/>
      <c r="B44" s="11" t="str">
        <f ca="1">IFERROR(__xludf.DUMMYFUNCTION("""COMPUTED_VALUE""")," I
15:00-16:30")</f>
        <v xml:space="preserve"> I
15:00-16:30</v>
      </c>
      <c r="C44" s="12" t="str">
        <f ca="1">IFERROR(__xludf.DUMMYFUNCTION("""COMPUTED_VALUE"""),"Calc. dif. şi int. (prel), G. Râbacova, 218/4")</f>
        <v>Calc. dif. şi int. (prel), G. Râbacova, 218/4</v>
      </c>
      <c r="D44" s="13"/>
      <c r="E44" s="13"/>
      <c r="F44" s="13"/>
      <c r="G44" s="25" t="str">
        <f ca="1">IFERROR(__xludf.DUMMYFUNCTION("""COMPUTED_VALUE"""),"Sisteme operare (exam), 
M. Butnaru, 216a/4a")</f>
        <v>Sisteme operare (exam), 
M. Butnaru, 216a/4a</v>
      </c>
      <c r="H44" s="12"/>
      <c r="I44" s="13"/>
      <c r="J44" s="13"/>
      <c r="K44" s="14"/>
      <c r="L44" s="12"/>
      <c r="M44" s="14"/>
      <c r="N44" s="12"/>
      <c r="O44" s="14"/>
    </row>
    <row r="45" spans="1:15" ht="39.6" x14ac:dyDescent="0.25">
      <c r="A45" s="30"/>
      <c r="B45" s="11" t="str">
        <f ca="1">IFERROR(__xludf.DUMMYFUNCTION("""COMPUTED_VALUE""")," II
16:45-18:15")</f>
        <v xml:space="preserve"> II
16:45-18:15</v>
      </c>
      <c r="C45" s="12" t="str">
        <f ca="1">IFERROR(__xludf.DUMMYFUNCTION("""COMPUTED_VALUE"""),"Calc. dif. şi int. (sem), G. Râbacova, 218/4")</f>
        <v>Calc. dif. şi int. (sem), G. Râbacova, 218/4</v>
      </c>
      <c r="D45" s="24" t="str">
        <f ca="1">IFERROR(__xludf.DUMMYFUNCTION("""COMPUTED_VALUE"""),"17.30 Sisteme operare (exam), 
M. Butnaru, 218/4a")</f>
        <v>17.30 Sisteme operare (exam), 
M. Butnaru, 218/4a</v>
      </c>
      <c r="E45" s="24" t="str">
        <f ca="1">IFERROR(__xludf.DUMMYFUNCTION("""COMPUTED_VALUE"""),"17.30 Sisteme operare (exam), 
N. Pleșca, 216a/4a")</f>
        <v>17.30 Sisteme operare (exam), 
N. Pleșca, 216a/4a</v>
      </c>
      <c r="F45" s="24" t="str">
        <f ca="1">IFERROR(__xludf.DUMMYFUNCTION("""COMPUTED_VALUE"""),"17.30 Sisteme operare (exam), 
M. Butnaru, 219/4a")</f>
        <v>17.30 Sisteme operare (exam), 
M. Butnaru, 219/4a</v>
      </c>
      <c r="G45" s="14"/>
      <c r="H45" s="23" t="str">
        <f ca="1">IFERROR(__xludf.DUMMYFUNCTION("""COMPUTED_VALUE"""),"Rețele calc. (exam), 
D. Borș, 404/4")</f>
        <v>Rețele calc. (exam), 
D. Borș, 404/4</v>
      </c>
      <c r="I45" s="24" t="str">
        <f ca="1">IFERROR(__xludf.DUMMYFUNCTION("""COMPUTED_VALUE"""),"Rețele calc. (exam), 
D. Borș, 404/4")</f>
        <v>Rețele calc. (exam), 
D. Borș, 404/4</v>
      </c>
      <c r="J45" s="24" t="str">
        <f ca="1">IFERROR(__xludf.DUMMYFUNCTION("""COMPUTED_VALUE"""),"Rețele calc. (exam), 
D. Borș, 404/4")</f>
        <v>Rețele calc. (exam), 
D. Borș, 404/4</v>
      </c>
      <c r="K45" s="25" t="str">
        <f ca="1">IFERROR(__xludf.DUMMYFUNCTION("""COMPUTED_VALUE"""),"Rețele calc. (exam), 
E. Cuznețova, 415/4")</f>
        <v>Rețele calc. (exam), 
E. Cuznețova, 415/4</v>
      </c>
      <c r="L45" s="23" t="str">
        <f ca="1">IFERROR(__xludf.DUMMYFUNCTION("""COMPUTED_VALUE"""),"Gestiune BD (exam), 
D. Pavel, 401/4")</f>
        <v>Gestiune BD (exam), 
D. Pavel, 401/4</v>
      </c>
      <c r="M45" s="25" t="str">
        <f ca="1">IFERROR(__xludf.DUMMYFUNCTION("""COMPUTED_VALUE"""),"Gestiune BD (exam), 
D. Pavel, 401/4")</f>
        <v>Gestiune BD (exam), 
D. Pavel, 401/4</v>
      </c>
      <c r="N45" s="23" t="str">
        <f ca="1">IFERROR(__xludf.DUMMYFUNCTION("""COMPUTED_VALUE"""),"Secur. aplic. web (exam), 
I. Tican, 251/4")</f>
        <v>Secur. aplic. web (exam), 
I. Tican, 251/4</v>
      </c>
      <c r="O45" s="25" t="str">
        <f ca="1">IFERROR(__xludf.DUMMYFUNCTION("""COMPUTED_VALUE"""),"Secur. aplic. web (exam), 
B. Vișnevschi, 237/4")</f>
        <v>Secur. aplic. web (exam), 
B. Vișnevschi, 237/4</v>
      </c>
    </row>
    <row r="46" spans="1:15" ht="26.4" x14ac:dyDescent="0.25">
      <c r="A46" s="31"/>
      <c r="B46" s="15" t="str">
        <f ca="1">IFERROR(__xludf.DUMMYFUNCTION("""COMPUTED_VALUE"""),"III
 18:30-20:00")</f>
        <v>III
 18:30-20:00</v>
      </c>
      <c r="C46" s="16"/>
      <c r="D46" s="17"/>
      <c r="E46" s="17"/>
      <c r="F46" s="17"/>
      <c r="G46" s="18"/>
      <c r="H46" s="16"/>
      <c r="I46" s="17"/>
      <c r="J46" s="17"/>
      <c r="K46" s="18"/>
      <c r="L46" s="16"/>
      <c r="M46" s="18"/>
      <c r="N46" s="16"/>
      <c r="O46" s="18"/>
    </row>
    <row r="47" spans="1:15" ht="13.2" x14ac:dyDescent="0.25">
      <c r="A47" s="29" t="str">
        <f ca="1">IFERROR(__xludf.DUMMYFUNCTION("""COMPUTED_VALUE"""),"Joi,
04.12.2025")</f>
        <v>Joi,
04.12.2025</v>
      </c>
      <c r="B47" s="19" t="str">
        <f ca="1">IFERROR(__xludf.DUMMYFUNCTION("""COMPUTED_VALUE"""),"13:15-14:45")</f>
        <v>13:15-14:45</v>
      </c>
      <c r="C47" s="20"/>
      <c r="D47" s="21"/>
      <c r="E47" s="21"/>
      <c r="F47" s="21"/>
      <c r="G47" s="22"/>
      <c r="H47" s="20"/>
      <c r="I47" s="21"/>
      <c r="J47" s="21"/>
      <c r="K47" s="22"/>
      <c r="L47" s="20"/>
      <c r="M47" s="22"/>
      <c r="N47" s="20"/>
      <c r="O47" s="22"/>
    </row>
    <row r="48" spans="1:15" ht="26.4" x14ac:dyDescent="0.25">
      <c r="A48" s="30"/>
      <c r="B48" s="11" t="str">
        <f ca="1">IFERROR(__xludf.DUMMYFUNCTION("""COMPUTED_VALUE""")," I
15:00-16:30")</f>
        <v xml:space="preserve"> I
15:00-16:30</v>
      </c>
      <c r="C48" s="12"/>
      <c r="D48" s="13"/>
      <c r="E48" s="13"/>
      <c r="F48" s="13"/>
      <c r="G48" s="14"/>
      <c r="H48" s="12"/>
      <c r="I48" s="13"/>
      <c r="J48" s="13"/>
      <c r="K48" s="14"/>
      <c r="L48" s="12"/>
      <c r="M48" s="14"/>
      <c r="N48" s="12"/>
      <c r="O48" s="14"/>
    </row>
    <row r="49" spans="1:15" ht="39.6" x14ac:dyDescent="0.25">
      <c r="A49" s="30"/>
      <c r="B49" s="11" t="str">
        <f ca="1">IFERROR(__xludf.DUMMYFUNCTION("""COMPUTED_VALUE"""),"II
 16:45-18:15")</f>
        <v>II
 16:45-18:15</v>
      </c>
      <c r="C49" s="12"/>
      <c r="D49" s="24" t="str">
        <f ca="1">IFERROR(__xludf.DUMMYFUNCTION("""COMPUTED_VALUE"""),"Fund. Progr. (exam), 
M. Pavel, 213a/4")</f>
        <v>Fund. Progr. (exam), 
M. Pavel, 213a/4</v>
      </c>
      <c r="E49" s="24" t="str">
        <f ca="1">IFERROR(__xludf.DUMMYFUNCTION("""COMPUTED_VALUE"""),"Fund. Progr. (exam), 
M. Pavel, 213a/4")</f>
        <v>Fund. Progr. (exam), 
M. Pavel, 213a/4</v>
      </c>
      <c r="F49" s="24" t="str">
        <f ca="1">IFERROR(__xludf.DUMMYFUNCTION("""COMPUTED_VALUE"""),"Fund. Progr. (exam), 
M. Pavel, 213a/4")</f>
        <v>Fund. Progr. (exam), 
M. Pavel, 213a/4</v>
      </c>
      <c r="G49" s="25" t="str">
        <f ca="1">IFERROR(__xludf.DUMMYFUNCTION("""COMPUTED_VALUE"""),"Fund. Progr. (exam), 
D. Borș, 419/4")</f>
        <v>Fund. Progr. (exam), 
D. Borș, 419/4</v>
      </c>
      <c r="H49" s="23" t="str">
        <f ca="1">IFERROR(__xludf.DUMMYFUNCTION("""COMPUTED_VALUE"""),"Mat. discr. (exam), 
A. Niculiță, 404/4")</f>
        <v>Mat. discr. (exam), 
A. Niculiță, 404/4</v>
      </c>
      <c r="I49" s="24" t="str">
        <f ca="1">IFERROR(__xludf.DUMMYFUNCTION("""COMPUTED_VALUE"""),"Mat. discr. (exam), 
A. Niculiță, 404/4")</f>
        <v>Mat. discr. (exam), 
A. Niculiță, 404/4</v>
      </c>
      <c r="J49" s="24" t="str">
        <f ca="1">IFERROR(__xludf.DUMMYFUNCTION("""COMPUTED_VALUE"""),"Mat. discr. (exam), 
A. Niculiță, 404/4")</f>
        <v>Mat. discr. (exam), 
A. Niculiță, 404/4</v>
      </c>
      <c r="K49" s="25" t="str">
        <f ca="1">IFERROR(__xludf.DUMMYFUNCTION("""COMPUTED_VALUE"""),"Mat. discr. (exam), 
I. Cucu, 415/4")</f>
        <v>Mat. discr. (exam), 
I. Cucu, 415/4</v>
      </c>
      <c r="L49" s="23" t="str">
        <f ca="1">IFERROR(__xludf.DUMMYFUNCTION("""COMPUTED_VALUE"""),"Calc. num. (exam), 
I. Verlan, 401/4")</f>
        <v>Calc. num. (exam), 
I. Verlan, 401/4</v>
      </c>
      <c r="M49" s="25" t="str">
        <f ca="1">IFERROR(__xludf.DUMMYFUNCTION("""COMPUTED_VALUE"""),"Calc. num. (exam), 
I. Verlan, 401/4")</f>
        <v>Calc. num. (exam), 
I. Verlan, 401/4</v>
      </c>
      <c r="N49" s="23" t="str">
        <f ca="1">IFERROR(__xludf.DUMMYFUNCTION("""COMPUTED_VALUE"""),"Elab. aplic. graf. (exam), 
M.Marin, 219/4a")</f>
        <v>Elab. aplic. graf. (exam), 
M.Marin, 219/4a</v>
      </c>
      <c r="O49" s="25" t="str">
        <f ca="1">IFERROR(__xludf.DUMMYFUNCTION("""COMPUTED_VALUE"""),"Elab. aplic. graf. (exam), 
Gh.Marin, 218/4a")</f>
        <v>Elab. aplic. graf. (exam), 
Gh.Marin, 218/4a</v>
      </c>
    </row>
    <row r="50" spans="1:15" ht="26.4" x14ac:dyDescent="0.25">
      <c r="A50" s="31"/>
      <c r="B50" s="15" t="str">
        <f ca="1">IFERROR(__xludf.DUMMYFUNCTION("""COMPUTED_VALUE"""),"III
 18:30-20:00")</f>
        <v>III
 18:30-20:00</v>
      </c>
      <c r="C50" s="16"/>
      <c r="D50" s="17"/>
      <c r="E50" s="17"/>
      <c r="F50" s="17"/>
      <c r="G50" s="18"/>
      <c r="H50" s="16"/>
      <c r="I50" s="17"/>
      <c r="J50" s="17"/>
      <c r="K50" s="18"/>
      <c r="L50" s="16"/>
      <c r="M50" s="18"/>
      <c r="N50" s="16"/>
      <c r="O50" s="18"/>
    </row>
    <row r="51" spans="1:15" ht="13.2" x14ac:dyDescent="0.25">
      <c r="A51" s="29" t="str">
        <f ca="1">IFERROR(__xludf.DUMMYFUNCTION("""COMPUTED_VALUE"""),"Vineri,
05.12.2025")</f>
        <v>Vineri,
05.12.2025</v>
      </c>
      <c r="B51" s="19" t="str">
        <f ca="1">IFERROR(__xludf.DUMMYFUNCTION("""COMPUTED_VALUE"""),"13:15-14:45")</f>
        <v>13:15-14:45</v>
      </c>
      <c r="C51" s="20"/>
      <c r="D51" s="21"/>
      <c r="E51" s="21"/>
      <c r="F51" s="21"/>
      <c r="G51" s="22"/>
      <c r="H51" s="20"/>
      <c r="I51" s="21"/>
      <c r="J51" s="21"/>
      <c r="K51" s="22"/>
      <c r="L51" s="20"/>
      <c r="M51" s="22"/>
      <c r="N51" s="20"/>
      <c r="O51" s="22"/>
    </row>
    <row r="52" spans="1:15" ht="26.4" x14ac:dyDescent="0.25">
      <c r="A52" s="30"/>
      <c r="B52" s="11" t="str">
        <f ca="1">IFERROR(__xludf.DUMMYFUNCTION("""COMPUTED_VALUE""")," I
15:00-16:30")</f>
        <v xml:space="preserve"> I
15:00-16:30</v>
      </c>
      <c r="C52" s="12"/>
      <c r="D52" s="13"/>
      <c r="E52" s="13"/>
      <c r="F52" s="24" t="str">
        <f ca="1">IFERROR(__xludf.DUMMYFUNCTION("""COMPUTED_VALUE"""),"Matem. (exam), 
F. Damian, 419/4")</f>
        <v>Matem. (exam), 
F. Damian, 419/4</v>
      </c>
      <c r="G52" s="25" t="str">
        <f ca="1">IFERROR(__xludf.DUMMYFUNCTION("""COMPUTED_VALUE"""),"Matem. (exam), 
V. Popa, 222/4")</f>
        <v>Matem. (exam), 
V. Popa, 222/4</v>
      </c>
      <c r="H52" s="12"/>
      <c r="I52" s="13"/>
      <c r="J52" s="13"/>
      <c r="K52" s="14"/>
      <c r="L52" s="12"/>
      <c r="M52" s="14"/>
      <c r="N52" s="12"/>
      <c r="O52" s="14"/>
    </row>
    <row r="53" spans="1:15" ht="105.6" x14ac:dyDescent="0.25">
      <c r="A53" s="30"/>
      <c r="B53" s="11" t="str">
        <f ca="1">IFERROR(__xludf.DUMMYFUNCTION("""COMPUTED_VALUE"""),"II
 16:45-18:15")</f>
        <v>II
 16:45-18:15</v>
      </c>
      <c r="C53" s="23" t="str">
        <f ca="1">IFERROR(__xludf.DUMMYFUNCTION("""COMPUTED_VALUE"""),"Logică şi teoria mulţ. (exam), I. Cucu, 218/4")</f>
        <v>Logică şi teoria mulţ. (exam), I. Cucu, 218/4</v>
      </c>
      <c r="D53" s="24" t="str">
        <f ca="1">IFERROR(__xludf.DUMMYFUNCTION("""COMPUTED_VALUE"""),"17.00 Matem. (exam), 
V. Popa, 213a/4")</f>
        <v>17.00 Matem. (exam), 
V. Popa, 213a/4</v>
      </c>
      <c r="E53" s="24" t="str">
        <f ca="1">IFERROR(__xludf.DUMMYFUNCTION("""COMPUTED_VALUE"""),"17.00 Matem. (exam), 
V. Popa, 213a/4")</f>
        <v>17.00 Matem. (exam), 
V. Popa, 213a/4</v>
      </c>
      <c r="F53" s="24"/>
      <c r="G53" s="25"/>
      <c r="H53" s="23" t="str">
        <f ca="1">IFERROR(__xludf.DUMMYFUNCTION("""COMPUTED_VALUE"""),"BD (exam), 
M. Dumitraș, 404/4")</f>
        <v>BD (exam), 
M. Dumitraș, 404/4</v>
      </c>
      <c r="I53" s="24" t="str">
        <f ca="1">IFERROR(__xludf.DUMMYFUNCTION("""COMPUTED_VALUE"""),"BD (exam), 
M. Dumitraș, 404/4")</f>
        <v>BD (exam), 
M. Dumitraș, 404/4</v>
      </c>
      <c r="J53" s="24" t="str">
        <f ca="1">IFERROR(__xludf.DUMMYFUNCTION("""COMPUTED_VALUE"""),"BD (exam), 
M. Dumitraș, 404/4")</f>
        <v>BD (exam), 
M. Dumitraș, 404/4</v>
      </c>
      <c r="K53" s="25" t="str">
        <f ca="1">IFERROR(__xludf.DUMMYFUNCTION("""COMPUTED_VALUE"""),"BD (exam), 
V. Trebiș, 216a/4a")</f>
        <v>BD (exam), 
V. Trebiș, 216a/4a</v>
      </c>
      <c r="L53" s="23" t="str">
        <f ca="1">IFERROR(__xludf.DUMMYFUNCTION("""COMPUTED_VALUE"""),"S21 Containizare (exam), D. Borș, 401/4 
S22 React (exam), Cr. Crudu, 218/4a
S23 Dezv. joc. (exam), A. Șchiopu, 219/4a")</f>
        <v>S21 Containizare (exam), D. Borș, 401/4 
S22 React (exam), Cr. Crudu, 218/4a
S23 Dezv. joc. (exam), A. Șchiopu, 219/4a</v>
      </c>
      <c r="M53" s="25" t="str">
        <f ca="1">IFERROR(__xludf.DUMMYFUNCTION("""COMPUTED_VALUE"""),"S21 Containizare (exam), D. Borș, 401/4 
S22 React (exam), D. Negura, 251/4")</f>
        <v>S21 Containizare (exam), D. Borș, 401/4 
S22 React (exam), D. Negura, 251/4</v>
      </c>
      <c r="N53" s="23" t="str">
        <f ca="1">IFERROR(__xludf.DUMMYFUNCTION("""COMPUTED_VALUE"""),"Framework web (exam), 
V. Vișnevschi, 145a/4")</f>
        <v>Framework web (exam), 
V. Vișnevschi, 145a/4</v>
      </c>
      <c r="O53" s="25" t="str">
        <f ca="1">IFERROR(__xludf.DUMMYFUNCTION("""COMPUTED_VALUE"""),"Framework web (exam), 
B. Vișnevschi, 350/4")</f>
        <v>Framework web (exam), 
B. Vișnevschi, 350/4</v>
      </c>
    </row>
    <row r="54" spans="1:15" ht="26.4" x14ac:dyDescent="0.25">
      <c r="A54" s="31"/>
      <c r="B54" s="15" t="str">
        <f ca="1">IFERROR(__xludf.DUMMYFUNCTION("""COMPUTED_VALUE"""),"III
 18:30-20:00")</f>
        <v>III
 18:30-20:00</v>
      </c>
      <c r="C54" s="16"/>
      <c r="D54" s="17"/>
      <c r="E54" s="17"/>
      <c r="F54" s="17"/>
      <c r="G54" s="18"/>
      <c r="H54" s="16"/>
      <c r="I54" s="17"/>
      <c r="J54" s="17"/>
      <c r="K54" s="18"/>
      <c r="L54" s="16"/>
      <c r="M54" s="18"/>
      <c r="N54" s="16"/>
      <c r="O54" s="18"/>
    </row>
    <row r="55" spans="1:15" ht="26.4" x14ac:dyDescent="0.25">
      <c r="A55" s="29" t="str">
        <f ca="1">IFERROR(__xludf.DUMMYFUNCTION("""COMPUTED_VALUE"""),"Sîmbătă,
06.12.2025")</f>
        <v>Sîmbătă,
06.12.2025</v>
      </c>
      <c r="B55" s="19" t="str">
        <f ca="1">IFERROR(__xludf.DUMMYFUNCTION("""COMPUTED_VALUE"""),"I
 08:00-9:30")</f>
        <v>I
 08:00-9:30</v>
      </c>
      <c r="C55" s="20"/>
      <c r="D55" s="21"/>
      <c r="E55" s="21"/>
      <c r="F55" s="21"/>
      <c r="G55" s="22"/>
      <c r="H55" s="20"/>
      <c r="I55" s="21"/>
      <c r="J55" s="21"/>
      <c r="K55" s="22"/>
      <c r="L55" s="20"/>
      <c r="M55" s="22"/>
      <c r="N55" s="20"/>
      <c r="O55" s="22"/>
    </row>
    <row r="56" spans="1:15" ht="39.6" x14ac:dyDescent="0.25">
      <c r="A56" s="30"/>
      <c r="B56" s="11" t="str">
        <f ca="1">IFERROR(__xludf.DUMMYFUNCTION("""COMPUTED_VALUE"""),"II
 09:45-11:15")</f>
        <v>II
 09:45-11:15</v>
      </c>
      <c r="C56" s="23" t="str">
        <f ca="1">IFERROR(__xludf.DUMMYFUNCTION("""COMPUTED_VALUE"""),"Geometrie analitică (exam), F. Damian, 218/4")</f>
        <v>Geometrie analitică (exam), F. Damian, 218/4</v>
      </c>
      <c r="D56" s="13"/>
      <c r="E56" s="13"/>
      <c r="F56" s="13"/>
      <c r="G56" s="14"/>
      <c r="H56" s="23" t="str">
        <f ca="1">IFERROR(__xludf.DUMMYFUNCTION("""COMPUTED_VALUE"""),"9:00 Tehn. progr. (exam), 
D. Borș, 122/4")</f>
        <v>9:00 Tehn. progr. (exam), 
D. Borș, 122/4</v>
      </c>
      <c r="I56" s="24" t="str">
        <f ca="1">IFERROR(__xludf.DUMMYFUNCTION("""COMPUTED_VALUE"""),"9:00 Tehn. progr. (exam), 
D. Borș, 122/4")</f>
        <v>9:00 Tehn. progr. (exam), 
D. Borș, 122/4</v>
      </c>
      <c r="J56" s="24" t="str">
        <f ca="1">IFERROR(__xludf.DUMMYFUNCTION("""COMPUTED_VALUE"""),"9:00 Tehn. progr. (exam), 
D. Borș, 122/4")</f>
        <v>9:00 Tehn. progr. (exam), 
D. Borș, 122/4</v>
      </c>
      <c r="K56" s="25" t="str">
        <f ca="1">IFERROR(__xludf.DUMMYFUNCTION("""COMPUTED_VALUE"""),"Tehn. progr. (exam), 
I. Anghelova, 239/4")</f>
        <v>Tehn. progr. (exam), 
I. Anghelova, 239/4</v>
      </c>
      <c r="L56" s="23"/>
      <c r="M56" s="25"/>
      <c r="N56" s="23" t="str">
        <f ca="1">IFERROR(__xludf.DUMMYFUNCTION("""COMPUTED_VALUE"""),"Limb. form. aut. (exam), 
G. Sturza, 222/4")</f>
        <v>Limb. form. aut. (exam), 
G. Sturza, 222/4</v>
      </c>
      <c r="O56" s="25" t="str">
        <f ca="1">IFERROR(__xludf.DUMMYFUNCTION("""COMPUTED_VALUE"""),"Limb. form. aut. (exam), 
G. Sturza, 222/4")</f>
        <v>Limb. form. aut. (exam), 
G. Sturza, 222/4</v>
      </c>
    </row>
    <row r="57" spans="1:15" ht="26.4" x14ac:dyDescent="0.25">
      <c r="A57" s="30"/>
      <c r="B57" s="11" t="str">
        <f ca="1">IFERROR(__xludf.DUMMYFUNCTION("""COMPUTED_VALUE"""),"III
 11:30-13:00")</f>
        <v>III
 11:30-13:00</v>
      </c>
      <c r="C57" s="12"/>
      <c r="D57" s="13"/>
      <c r="E57" s="13"/>
      <c r="F57" s="13"/>
      <c r="G57" s="14" t="str">
        <f ca="1">IFERROR(__xludf.DUMMYFUNCTION("""COMPUTED_VALUE""")," I: Sec. cibern. (lab), 
D. Borș, 216a/4a")</f>
        <v xml:space="preserve"> I: Sec. cibern. (lab), 
D. Borș, 216a/4a</v>
      </c>
      <c r="H57" s="12"/>
      <c r="I57" s="13"/>
      <c r="J57" s="13"/>
      <c r="K57" s="14"/>
      <c r="L57" s="12"/>
      <c r="M57" s="14"/>
      <c r="N57" s="12"/>
      <c r="O57" s="14"/>
    </row>
    <row r="58" spans="1:15" ht="66" x14ac:dyDescent="0.25">
      <c r="A58" s="30"/>
      <c r="B58" s="11" t="str">
        <f ca="1">IFERROR(__xludf.DUMMYFUNCTION("""COMPUTED_VALUE"""),"IV
 13:15-14:45")</f>
        <v>IV
 13:15-14:45</v>
      </c>
      <c r="C58" s="12"/>
      <c r="D58" s="13"/>
      <c r="E58" s="13"/>
      <c r="F58" s="13"/>
      <c r="G58" s="14" t="str">
        <f ca="1">IFERROR(__xludf.DUMMYFUNCTION("""COMPUTED_VALUE""")," I: Sec. cibern. (lab), 
D. Borș, 216a/4a")</f>
        <v xml:space="preserve"> I: Sec. cibern. (lab), 
D. Borș, 216a/4a</v>
      </c>
      <c r="H58" s="12"/>
      <c r="I58" s="13"/>
      <c r="J58" s="13"/>
      <c r="K58" s="14"/>
      <c r="L58" s="23" t="str">
        <f ca="1">IFERROR(__xludf.DUMMYFUNCTION("""COMPUTED_VALUE"""),"S11 Spring (exam), M. Dodi, 143/4 
S12 GA 3D (exam), E. Arseni, Cr. Crudu, 251/4 ")</f>
        <v xml:space="preserve">S11 Spring (exam), M. Dodi, 143/4 
S12 GA 3D (exam), E. Arseni, Cr. Crudu, 251/4 </v>
      </c>
      <c r="M58" s="25" t="str">
        <f ca="1">IFERROR(__xludf.DUMMYFUNCTION("""COMPUTED_VALUE"""),"S1 Spring (exam), M. Dodi, 423/4")</f>
        <v>S1 Spring (exam), M. Dodi, 423/4</v>
      </c>
      <c r="N58" s="12"/>
      <c r="O58" s="14"/>
    </row>
    <row r="59" spans="1:15" ht="26.4" x14ac:dyDescent="0.25">
      <c r="A59" s="30"/>
      <c r="B59" s="11" t="str">
        <f ca="1">IFERROR(__xludf.DUMMYFUNCTION("""COMPUTED_VALUE""")," V
15:00-16:30")</f>
        <v xml:space="preserve"> V
15:00-16:30</v>
      </c>
      <c r="C59" s="12"/>
      <c r="D59" s="13"/>
      <c r="E59" s="13"/>
      <c r="F59" s="13"/>
      <c r="G59" s="14" t="str">
        <f ca="1">IFERROR(__xludf.DUMMYFUNCTION("""COMPUTED_VALUE""")," II: Sec. cibern. (lab), 
D. Borș, 216a/4a")</f>
        <v xml:space="preserve"> II: Sec. cibern. (lab), 
D. Borș, 216a/4a</v>
      </c>
      <c r="H59" s="12"/>
      <c r="I59" s="13"/>
      <c r="J59" s="13"/>
      <c r="K59" s="14"/>
      <c r="L59" s="12"/>
      <c r="M59" s="14"/>
      <c r="N59" s="12"/>
      <c r="O59" s="14"/>
    </row>
    <row r="60" spans="1:15" ht="26.4" x14ac:dyDescent="0.25">
      <c r="A60" s="31"/>
      <c r="B60" s="15" t="str">
        <f ca="1">IFERROR(__xludf.DUMMYFUNCTION("""COMPUTED_VALUE"""),"VI
 16:45-18:15")</f>
        <v>VI
 16:45-18:15</v>
      </c>
      <c r="C60" s="16"/>
      <c r="D60" s="17"/>
      <c r="E60" s="17"/>
      <c r="F60" s="17"/>
      <c r="G60" s="18" t="str">
        <f ca="1">IFERROR(__xludf.DUMMYFUNCTION("""COMPUTED_VALUE""")," II: Sec. cibern. (lab), 
D. Borș, 216a/4a")</f>
        <v xml:space="preserve"> II: Sec. cibern. (lab), 
D. Borș, 216a/4a</v>
      </c>
      <c r="H60" s="16"/>
      <c r="I60" s="17"/>
      <c r="J60" s="17"/>
      <c r="K60" s="18"/>
      <c r="L60" s="16"/>
      <c r="M60" s="18"/>
      <c r="N60" s="16"/>
      <c r="O60" s="18"/>
    </row>
    <row r="61" spans="1:15" ht="26.4" x14ac:dyDescent="0.25">
      <c r="A61" s="29" t="str">
        <f ca="1">IFERROR(__xludf.DUMMYFUNCTION("""COMPUTED_VALUE"""),"Duminică,
07.12.2025")</f>
        <v>Duminică,
07.12.2025</v>
      </c>
      <c r="B61" s="19" t="str">
        <f ca="1">IFERROR(__xludf.DUMMYFUNCTION("""COMPUTED_VALUE"""),"I
 08:00-9:30")</f>
        <v>I
 08:00-9:30</v>
      </c>
      <c r="C61" s="20"/>
      <c r="D61" s="21"/>
      <c r="E61" s="21"/>
      <c r="F61" s="21"/>
      <c r="G61" s="22"/>
      <c r="H61" s="20"/>
      <c r="I61" s="21"/>
      <c r="J61" s="21"/>
      <c r="K61" s="22"/>
      <c r="L61" s="20"/>
      <c r="M61" s="22"/>
      <c r="N61" s="20"/>
      <c r="O61" s="22"/>
    </row>
    <row r="62" spans="1:15" ht="26.4" x14ac:dyDescent="0.25">
      <c r="A62" s="30"/>
      <c r="B62" s="11" t="str">
        <f ca="1">IFERROR(__xludf.DUMMYFUNCTION("""COMPUTED_VALUE"""),"II
 09:45-11:15")</f>
        <v>II
 09:45-11:15</v>
      </c>
      <c r="C62" s="12"/>
      <c r="D62" s="24" t="str">
        <f ca="1">IFERROR(__xludf.DUMMYFUNCTION("""COMPUTED_VALUE"""),"Sec. cibern. (exam), 
I. Tican, 219/4a")</f>
        <v>Sec. cibern. (exam), 
I. Tican, 219/4a</v>
      </c>
      <c r="E62" s="24" t="str">
        <f ca="1">IFERROR(__xludf.DUMMYFUNCTION("""COMPUTED_VALUE"""),"Sec. cibern. (exam), 
D.  Borș, 218/4a")</f>
        <v>Sec. cibern. (exam), 
D.  Borș, 218/4a</v>
      </c>
      <c r="F62" s="24" t="str">
        <f ca="1">IFERROR(__xludf.DUMMYFUNCTION("""COMPUTED_VALUE"""),"Sec. cibern. (exam), 
A. Donu, 216a/4a")</f>
        <v>Sec. cibern. (exam), 
A. Donu, 216a/4a</v>
      </c>
      <c r="G62" s="25"/>
      <c r="H62" s="12"/>
      <c r="I62" s="13"/>
      <c r="J62" s="13"/>
      <c r="K62" s="14"/>
      <c r="L62" s="12"/>
      <c r="M62" s="14"/>
      <c r="N62" s="12"/>
      <c r="O62" s="14"/>
    </row>
    <row r="63" spans="1:15" ht="26.4" x14ac:dyDescent="0.25">
      <c r="A63" s="30"/>
      <c r="B63" s="11" t="str">
        <f ca="1">IFERROR(__xludf.DUMMYFUNCTION("""COMPUTED_VALUE"""),"III
 11:30-13:00")</f>
        <v>III
 11:30-13:00</v>
      </c>
      <c r="C63" s="12"/>
      <c r="D63" s="24"/>
      <c r="E63" s="24"/>
      <c r="F63" s="24"/>
      <c r="G63" s="25" t="str">
        <f ca="1">IFERROR(__xludf.DUMMYFUNCTION("""COMPUTED_VALUE"""),"Sec. cibern. (exam), 
D. Borș, 218/4a")</f>
        <v>Sec. cibern. (exam), 
D. Borș, 218/4a</v>
      </c>
      <c r="H63" s="12"/>
      <c r="I63" s="13"/>
      <c r="J63" s="13"/>
      <c r="K63" s="14"/>
      <c r="L63" s="12"/>
      <c r="M63" s="14"/>
      <c r="N63" s="12"/>
      <c r="O63" s="14"/>
    </row>
    <row r="64" spans="1:15" ht="26.4" x14ac:dyDescent="0.25">
      <c r="A64" s="30"/>
      <c r="B64" s="11" t="str">
        <f ca="1">IFERROR(__xludf.DUMMYFUNCTION("""COMPUTED_VALUE"""),"IV
 13:15-14:45")</f>
        <v>IV
 13:15-14:45</v>
      </c>
      <c r="C64" s="12"/>
      <c r="D64" s="13"/>
      <c r="E64" s="13"/>
      <c r="F64" s="13"/>
      <c r="G64" s="14"/>
      <c r="H64" s="12"/>
      <c r="I64" s="13"/>
      <c r="J64" s="13"/>
      <c r="K64" s="14"/>
      <c r="L64" s="12"/>
      <c r="M64" s="14"/>
      <c r="N64" s="12"/>
      <c r="O64" s="14"/>
    </row>
    <row r="65" spans="1:15" ht="26.4" x14ac:dyDescent="0.25">
      <c r="A65" s="30"/>
      <c r="B65" s="11" t="str">
        <f ca="1">IFERROR(__xludf.DUMMYFUNCTION("""COMPUTED_VALUE""")," V
15:00-16:30")</f>
        <v xml:space="preserve"> V
15:00-16:30</v>
      </c>
      <c r="C65" s="12"/>
      <c r="D65" s="13"/>
      <c r="E65" s="13"/>
      <c r="F65" s="13"/>
      <c r="G65" s="14"/>
      <c r="H65" s="12"/>
      <c r="I65" s="13"/>
      <c r="J65" s="13"/>
      <c r="K65" s="14"/>
      <c r="L65" s="12"/>
      <c r="M65" s="14"/>
      <c r="N65" s="12"/>
      <c r="O65" s="14"/>
    </row>
    <row r="66" spans="1:15" ht="27" thickBot="1" x14ac:dyDescent="0.3">
      <c r="A66" s="30"/>
      <c r="B66" s="11" t="str">
        <f ca="1">IFERROR(__xludf.DUMMYFUNCTION("""COMPUTED_VALUE"""),"VI
 16:45-18:15")</f>
        <v>VI
 16:45-18:15</v>
      </c>
      <c r="C66" s="12"/>
      <c r="D66" s="13"/>
      <c r="E66" s="13"/>
      <c r="F66" s="13"/>
      <c r="G66" s="14"/>
      <c r="H66" s="12"/>
      <c r="I66" s="13"/>
      <c r="J66" s="13"/>
      <c r="K66" s="14"/>
      <c r="L66" s="12"/>
      <c r="M66" s="14"/>
      <c r="N66" s="12"/>
      <c r="O66" s="14"/>
    </row>
    <row r="67" spans="1:15" ht="27" thickTop="1" x14ac:dyDescent="0.25">
      <c r="A67" s="29" t="str">
        <f ca="1">IFERROR(__xludf.DUMMYFUNCTION("""COMPUTED_VALUE"""),"Luni,
08.12.2025")</f>
        <v>Luni,
08.12.2025</v>
      </c>
      <c r="B67" s="19" t="str">
        <f ca="1">IFERROR(__xludf.DUMMYFUNCTION("""COMPUTED_VALUE""")," I
15:00-16:30")</f>
        <v xml:space="preserve"> I
15:00-16:30</v>
      </c>
      <c r="C67" s="20"/>
      <c r="D67" s="21"/>
      <c r="E67" s="21"/>
      <c r="F67" s="21"/>
      <c r="G67" s="22"/>
      <c r="H67" s="20"/>
      <c r="I67" s="21"/>
      <c r="J67" s="21"/>
      <c r="K67" s="22"/>
      <c r="L67" s="20"/>
      <c r="M67" s="22"/>
      <c r="N67" s="20"/>
      <c r="O67" s="22"/>
    </row>
    <row r="68" spans="1:15" ht="39.6" x14ac:dyDescent="0.25">
      <c r="A68" s="30"/>
      <c r="B68" s="11" t="str">
        <f ca="1">IFERROR(__xludf.DUMMYFUNCTION("""COMPUTED_VALUE""")," II
16:45-18:15")</f>
        <v xml:space="preserve"> II
16:45-18:15</v>
      </c>
      <c r="C68" s="23" t="str">
        <f ca="1">IFERROR(__xludf.DUMMYFUNCTION("""COMPUTED_VALUE"""),"Calc. dif. şi int. (exam), G. Râbacova, 218/4")</f>
        <v>Calc. dif. şi int. (exam), G. Râbacova, 218/4</v>
      </c>
      <c r="D68" s="13" t="str">
        <f ca="1">IFERROR(__xludf.DUMMYFUNCTION("""COMPUTED_VALUE"""),"Javascript (prel), 
A. Donu, 404/4")</f>
        <v>Javascript (prel), 
A. Donu, 404/4</v>
      </c>
      <c r="E68" s="13" t="str">
        <f ca="1">IFERROR(__xludf.DUMMYFUNCTION("""COMPUTED_VALUE"""),"Javascript (prel), 
A. Donu, 404/4")</f>
        <v>Javascript (prel), 
A. Donu, 404/4</v>
      </c>
      <c r="F68" s="13" t="str">
        <f ca="1">IFERROR(__xludf.DUMMYFUNCTION("""COMPUTED_VALUE"""),"Psih. (prel), V. Miron, 222/4")</f>
        <v>Psih. (prel), V. Miron, 222/4</v>
      </c>
      <c r="G68" s="25" t="str">
        <f ca="1">IFERROR(__xludf.DUMMYFUNCTION("""COMPUTED_VALUE"""),"HTML (exam), 
T. Iațîșina, 326/4")</f>
        <v>HTML (exam), 
T. Iațîșina, 326/4</v>
      </c>
      <c r="H68" s="12" t="str">
        <f ca="1">IFERROR(__xludf.DUMMYFUNCTION("""COMPUTED_VALUE"""),"Proiect. SI. (prel), 
A. Gladei, 401/4")</f>
        <v>Proiect. SI. (prel), 
A. Gladei, 401/4</v>
      </c>
      <c r="I68" s="13" t="str">
        <f ca="1">IFERROR(__xludf.DUMMYFUNCTION("""COMPUTED_VALUE"""),"Proiect. SI. (prel), 
A. Gladei, 401/4")</f>
        <v>Proiect. SI. (prel), 
A. Gladei, 401/4</v>
      </c>
      <c r="J68" s="13" t="str">
        <f ca="1">IFERROR(__xludf.DUMMYFUNCTION("""COMPUTED_VALUE"""),"Proiect. SI. (prel), 
A. Gladei, 401/4")</f>
        <v>Proiect. SI. (prel), 
A. Gladei, 401/4</v>
      </c>
      <c r="K68" s="14" t="str">
        <f ca="1">IFERROR(__xludf.DUMMYFUNCTION("""COMPUTED_VALUE"""),"Cript. sec.inf. (prel), 
O. Cerbu, 415/4")</f>
        <v>Cript. sec.inf. (prel), 
O. Cerbu, 415/4</v>
      </c>
      <c r="L68" s="12" t="str">
        <f ca="1">IFERROR(__xludf.DUMMYFUNCTION("""COMPUTED_VALUE"""),"IA (prel), 
T. Bumbu, 214/4")</f>
        <v>IA (prel), 
T. Bumbu, 214/4</v>
      </c>
      <c r="M68" s="14" t="str">
        <f ca="1">IFERROR(__xludf.DUMMYFUNCTION("""COMPUTED_VALUE"""),"Design soft. (prel), 
A. Curmanschii, 419/4")</f>
        <v>Design soft. (prel), 
A. Curmanschii, 419/4</v>
      </c>
      <c r="N68" s="12" t="str">
        <f ca="1">IFERROR(__xludf.DUMMYFUNCTION("""COMPUTED_VALUE"""),"Dezv. int. ad. (prel),
M. Butnaru, 219/4a")</f>
        <v>Dezv. int. ad. (prel),
M. Butnaru, 219/4a</v>
      </c>
      <c r="O68" s="14"/>
    </row>
    <row r="69" spans="1:15" ht="26.4" x14ac:dyDescent="0.25">
      <c r="A69" s="31"/>
      <c r="B69" s="15" t="str">
        <f ca="1">IFERROR(__xludf.DUMMYFUNCTION("""COMPUTED_VALUE"""),"III
18:30-20:00")</f>
        <v>III
18:30-20:00</v>
      </c>
      <c r="C69" s="16"/>
      <c r="D69" s="17" t="str">
        <f ca="1">IFERROR(__xludf.DUMMYFUNCTION("""COMPUTED_VALUE"""),"Javascript (prel), 
A. Donu, 404/4")</f>
        <v>Javascript (prel), 
A. Donu, 404/4</v>
      </c>
      <c r="E69" s="17" t="str">
        <f ca="1">IFERROR(__xludf.DUMMYFUNCTION("""COMPUTED_VALUE"""),"Javascript (prel), 
A. Donu, 404/4")</f>
        <v>Javascript (prel), 
A. Donu, 404/4</v>
      </c>
      <c r="F69" s="17" t="str">
        <f ca="1">IFERROR(__xludf.DUMMYFUNCTION("""COMPUTED_VALUE"""),"Psih. (prel), V. Miron, 222/4")</f>
        <v>Psih. (prel), V. Miron, 222/4</v>
      </c>
      <c r="G69" s="18"/>
      <c r="H69" s="16" t="str">
        <f ca="1">IFERROR(__xludf.DUMMYFUNCTION("""COMPUTED_VALUE"""),"Proiect. SI. (prel), 
A. Gladei, 401/4")</f>
        <v>Proiect. SI. (prel), 
A. Gladei, 401/4</v>
      </c>
      <c r="I69" s="17" t="str">
        <f ca="1">IFERROR(__xludf.DUMMYFUNCTION("""COMPUTED_VALUE"""),"Proiect. SI. (prel), 
A. Gladei, 401/4")</f>
        <v>Proiect. SI. (prel), 
A. Gladei, 401/4</v>
      </c>
      <c r="J69" s="17" t="str">
        <f ca="1">IFERROR(__xludf.DUMMYFUNCTION("""COMPUTED_VALUE"""),"Proiect. SI. (prel), 
A. Gladei, 401/4")</f>
        <v>Proiect. SI. (prel), 
A. Gladei, 401/4</v>
      </c>
      <c r="K69" s="18" t="str">
        <f ca="1">IFERROR(__xludf.DUMMYFUNCTION("""COMPUTED_VALUE"""),"Cript. sec.inf. (prel), 
O. Cerbu, 415/4")</f>
        <v>Cript. sec.inf. (prel), 
O. Cerbu, 415/4</v>
      </c>
      <c r="L69" s="16" t="str">
        <f ca="1">IFERROR(__xludf.DUMMYFUNCTION("""COMPUTED_VALUE"""),"IA (prel), 
T. Bumbu, 214/4")</f>
        <v>IA (prel), 
T. Bumbu, 214/4</v>
      </c>
      <c r="M69" s="18" t="str">
        <f ca="1">IFERROR(__xludf.DUMMYFUNCTION("""COMPUTED_VALUE"""),"Design soft. (prel), 
A. Curmanschii, 419/4")</f>
        <v>Design soft. (prel), 
A. Curmanschii, 419/4</v>
      </c>
      <c r="N69" s="16" t="str">
        <f ca="1">IFERROR(__xludf.DUMMYFUNCTION("""COMPUTED_VALUE"""),"Dezv. int. ad. (prel),
M. Butnaru, 219/4a")</f>
        <v>Dezv. int. ad. (prel),
M. Butnaru, 219/4a</v>
      </c>
      <c r="O69" s="18"/>
    </row>
    <row r="70" spans="1:15" ht="26.4" x14ac:dyDescent="0.25">
      <c r="A70" s="29" t="str">
        <f ca="1">IFERROR(__xludf.DUMMYFUNCTION("""COMPUTED_VALUE"""),"Marți,
09.12.2025")</f>
        <v>Marți,
09.12.2025</v>
      </c>
      <c r="B70" s="19" t="str">
        <f ca="1">IFERROR(__xludf.DUMMYFUNCTION("""COMPUTED_VALUE""")," I
15:00-16:30")</f>
        <v xml:space="preserve"> I
15:00-16:30</v>
      </c>
      <c r="C70" s="20"/>
      <c r="D70" s="21"/>
      <c r="E70" s="21"/>
      <c r="F70" s="21"/>
      <c r="G70" s="22"/>
      <c r="H70" s="20" t="str">
        <f ca="1">IFERROR(__xludf.DUMMYFUNCTION("""COMPUTED_VALUE"""),"Politologie (prel), R.Svetlicinii, 404/4")</f>
        <v>Politologie (prel), R.Svetlicinii, 404/4</v>
      </c>
      <c r="I70" s="21" t="str">
        <f ca="1">IFERROR(__xludf.DUMMYFUNCTION("""COMPUTED_VALUE"""),"Politologie (prel), R.Svetlicinii, 404/4")</f>
        <v>Politologie (prel), R.Svetlicinii, 404/4</v>
      </c>
      <c r="J70" s="21" t="str">
        <f ca="1">IFERROR(__xludf.DUMMYFUNCTION("""COMPUTED_VALUE"""),"Politologie (prel), R.Svetlicinii, 404/4")</f>
        <v>Politologie (prel), R.Svetlicinii, 404/4</v>
      </c>
      <c r="K70" s="22"/>
      <c r="L70" s="20"/>
      <c r="M70" s="22"/>
      <c r="N70" s="20"/>
      <c r="O70" s="22"/>
    </row>
    <row r="71" spans="1:15" ht="39.6" x14ac:dyDescent="0.25">
      <c r="A71" s="30"/>
      <c r="B71" s="11" t="str">
        <f ca="1">IFERROR(__xludf.DUMMYFUNCTION("""COMPUTED_VALUE"""),"II
16:45-18:15")</f>
        <v>II
16:45-18:15</v>
      </c>
      <c r="C71" s="23" t="str">
        <f ca="1">IFERROR(__xludf.DUMMYFUNCTION("""COMPUTED_VALUE"""),"Algebră liniară (exam), P. Sârbu, 218/4")</f>
        <v>Algebră liniară (exam), P. Sârbu, 218/4</v>
      </c>
      <c r="D71" s="13" t="str">
        <f ca="1">IFERROR(__xludf.DUMMYFUNCTION("""COMPUTED_VALUE"""),"POO (prel), 
A. Arnaut, 122/4")</f>
        <v>POO (prel), 
A. Arnaut, 122/4</v>
      </c>
      <c r="E71" s="13" t="str">
        <f ca="1">IFERROR(__xludf.DUMMYFUNCTION("""COMPUTED_VALUE"""),"POO (prel), 
A. Arnaut, 122/4")</f>
        <v>POO (prel), 
A. Arnaut, 122/4</v>
      </c>
      <c r="F71" s="13" t="str">
        <f ca="1">IFERROR(__xludf.DUMMYFUNCTION("""COMPUTED_VALUE"""),"POO (prel), 
A. Arnaut, 122/4")</f>
        <v>POO (prel), 
A. Arnaut, 122/4</v>
      </c>
      <c r="G71" s="14" t="str">
        <f ca="1">IFERROR(__xludf.DUMMYFUNCTION("""COMPUTED_VALUE"""),"POO (prel), 
Gh. Latul, 415/4")</f>
        <v>POO (prel), 
Gh. Latul, 415/4</v>
      </c>
      <c r="H71" s="12" t="str">
        <f ca="1">IFERROR(__xludf.DUMMYFUNCTION("""COMPUTED_VALUE"""),"Politologie (prel), R.Svetlicinii, 404/4")</f>
        <v>Politologie (prel), R.Svetlicinii, 404/4</v>
      </c>
      <c r="I71" s="13" t="str">
        <f ca="1">IFERROR(__xludf.DUMMYFUNCTION("""COMPUTED_VALUE"""),"Politologie (prel), R.Svetlicinii, 404/4")</f>
        <v>Politologie (prel), R.Svetlicinii, 404/4</v>
      </c>
      <c r="J71" s="13" t="str">
        <f ca="1">IFERROR(__xludf.DUMMYFUNCTION("""COMPUTED_VALUE"""),"Politologie (prel), R.Svetlicinii, 404/4")</f>
        <v>Politologie (prel), R.Svetlicinii, 404/4</v>
      </c>
      <c r="K71" s="14" t="str">
        <f ca="1">IFERROR(__xludf.DUMMYFUNCTION("""COMPUTED_VALUE"""),"Alg. str. date (prel), 
S. Corlat, 419/4")</f>
        <v>Alg. str. date (prel), 
S. Corlat, 419/4</v>
      </c>
      <c r="L71" s="12"/>
      <c r="M71" s="14" t="str">
        <f ca="1">IFERROR(__xludf.DUMMYFUNCTION("""COMPUTED_VALUE"""),"IA (prel), 
T. Bumbu, 214/4")</f>
        <v>IA (prel), 
T. Bumbu, 214/4</v>
      </c>
      <c r="N71" s="12" t="str">
        <f ca="1">IFERROR(__xludf.DUMMYFUNCTION("""COMPUTED_VALUE"""),"Aspecte etice (prel), 
M. Marin, 219/4a")</f>
        <v>Aspecte etice (prel), 
M. Marin, 219/4a</v>
      </c>
      <c r="O71" s="14" t="str">
        <f ca="1">IFERROR(__xludf.DUMMYFUNCTION("""COMPUTED_VALUE"""),"Admin. sec. RC (prel),
O. Cerbu, 216a/4a")</f>
        <v>Admin. sec. RC (prel),
O. Cerbu, 216a/4a</v>
      </c>
    </row>
    <row r="72" spans="1:15" ht="26.4" x14ac:dyDescent="0.25">
      <c r="A72" s="31"/>
      <c r="B72" s="15" t="str">
        <f ca="1">IFERROR(__xludf.DUMMYFUNCTION("""COMPUTED_VALUE""")," III
18:30-20:00")</f>
        <v xml:space="preserve"> III
18:30-20:00</v>
      </c>
      <c r="C72" s="16"/>
      <c r="D72" s="17" t="str">
        <f ca="1">IFERROR(__xludf.DUMMYFUNCTION("""COMPUTED_VALUE"""),"POO (prel), 
A. Arnaut, 122/4")</f>
        <v>POO (prel), 
A. Arnaut, 122/4</v>
      </c>
      <c r="E72" s="17" t="str">
        <f ca="1">IFERROR(__xludf.DUMMYFUNCTION("""COMPUTED_VALUE"""),"POO (prel), 
A. Arnaut, 122/4")</f>
        <v>POO (prel), 
A. Arnaut, 122/4</v>
      </c>
      <c r="F72" s="17" t="str">
        <f ca="1">IFERROR(__xludf.DUMMYFUNCTION("""COMPUTED_VALUE"""),"POO (prel), 
A. Arnaut, 122/4")</f>
        <v>POO (prel), 
A. Arnaut, 122/4</v>
      </c>
      <c r="G72" s="18" t="str">
        <f ca="1">IFERROR(__xludf.DUMMYFUNCTION("""COMPUTED_VALUE"""),"POO (prel), 
Gh. Latul, 415/4")</f>
        <v>POO (prel), 
Gh. Latul, 415/4</v>
      </c>
      <c r="H72" s="16"/>
      <c r="I72" s="17"/>
      <c r="J72" s="17"/>
      <c r="K72" s="18" t="str">
        <f ca="1">IFERROR(__xludf.DUMMYFUNCTION("""COMPUTED_VALUE"""),"Alg. str. date (prel), 
S. Corlat, 419/4")</f>
        <v>Alg. str. date (prel), 
S. Corlat, 419/4</v>
      </c>
      <c r="L72" s="16"/>
      <c r="M72" s="18" t="str">
        <f ca="1">IFERROR(__xludf.DUMMYFUNCTION("""COMPUTED_VALUE"""),"IA (prel), 
T. Bumbu, 214/4")</f>
        <v>IA (prel), 
T. Bumbu, 214/4</v>
      </c>
      <c r="N72" s="16" t="str">
        <f ca="1">IFERROR(__xludf.DUMMYFUNCTION("""COMPUTED_VALUE"""),"Aspecte etice (prel), 
M. Marin, 219/4a")</f>
        <v>Aspecte etice (prel), 
M. Marin, 219/4a</v>
      </c>
      <c r="O72" s="18" t="str">
        <f ca="1">IFERROR(__xludf.DUMMYFUNCTION("""COMPUTED_VALUE"""),"Admin. sec. RC (prel),
O. Cerbu, 216a/4a")</f>
        <v>Admin. sec. RC (prel),
O. Cerbu, 216a/4a</v>
      </c>
    </row>
    <row r="73" spans="1:15" ht="26.4" x14ac:dyDescent="0.25">
      <c r="A73" s="29" t="str">
        <f ca="1">IFERROR(__xludf.DUMMYFUNCTION("""COMPUTED_VALUE"""),"Miercuri,
10.12.2025")</f>
        <v>Miercuri,
10.12.2025</v>
      </c>
      <c r="B73" s="19" t="str">
        <f ca="1">IFERROR(__xludf.DUMMYFUNCTION("""COMPUTED_VALUE""")," I
15:00-16:30")</f>
        <v xml:space="preserve"> I
15:00-16:30</v>
      </c>
      <c r="C73" s="20"/>
      <c r="D73" s="21"/>
      <c r="E73" s="21"/>
      <c r="F73" s="21"/>
      <c r="G73" s="22" t="str">
        <f ca="1">IFERROR(__xludf.DUMMYFUNCTION("""COMPUTED_VALUE"""),"L. rom. (sem), E. Braguță, 419/4")</f>
        <v>L. rom. (sem), E. Braguță, 419/4</v>
      </c>
      <c r="H73" s="20"/>
      <c r="I73" s="21"/>
      <c r="J73" s="21"/>
      <c r="K73" s="22"/>
      <c r="L73" s="20"/>
      <c r="M73" s="22"/>
      <c r="N73" s="20"/>
      <c r="O73" s="22"/>
    </row>
    <row r="74" spans="1:15" ht="26.4" x14ac:dyDescent="0.25">
      <c r="A74" s="30"/>
      <c r="B74" s="11" t="str">
        <f ca="1">IFERROR(__xludf.DUMMYFUNCTION("""COMPUTED_VALUE""")," II
16:45-18:15")</f>
        <v xml:space="preserve"> II
16:45-18:15</v>
      </c>
      <c r="C74" s="12" t="str">
        <f ca="1">IFERROR(__xludf.DUMMYFUNCTION("""COMPUTED_VALUE"""),"Utilizare TI (lab), C. Țurcan, 9/2a")</f>
        <v>Utilizare TI (lab), C. Țurcan, 9/2a</v>
      </c>
      <c r="D74" s="13" t="str">
        <f ca="1">IFERROR(__xludf.DUMMYFUNCTION("""COMPUTED_VALUE"""),"Rețele de calc. (prel), 
E. Cuznețov, 113/4")</f>
        <v>Rețele de calc. (prel), 
E. Cuznețov, 113/4</v>
      </c>
      <c r="E74" s="13" t="str">
        <f ca="1">IFERROR(__xludf.DUMMYFUNCTION("""COMPUTED_VALUE"""),"Rețele de calc. (prel), 
E. Cuznețov, 113/4")</f>
        <v>Rețele de calc. (prel), 
E. Cuznețov, 113/4</v>
      </c>
      <c r="F74" s="13" t="str">
        <f ca="1">IFERROR(__xludf.DUMMYFUNCTION("""COMPUTED_VALUE"""),"Rețele de calc. (prel), 
E. Cuznețov, 113/4")</f>
        <v>Rețele de calc. (prel), 
E. Cuznețov, 113/4</v>
      </c>
      <c r="G74" s="14" t="str">
        <f ca="1">IFERROR(__xludf.DUMMYFUNCTION("""COMPUTED_VALUE"""),"Python (prel), 
V. Trebiș, 401/4")</f>
        <v>Python (prel), 
V. Trebiș, 401/4</v>
      </c>
      <c r="H74" s="12" t="str">
        <f ca="1">IFERROR(__xludf.DUMMYFUNCTION("""COMPUTED_VALUE"""),"Cript. sec.inf. (prel), 
O. Cerbu, 404/4")</f>
        <v>Cript. sec.inf. (prel), 
O. Cerbu, 404/4</v>
      </c>
      <c r="I74" s="13" t="str">
        <f ca="1">IFERROR(__xludf.DUMMYFUNCTION("""COMPUTED_VALUE"""),"Cript. sec.inf. (prel), 
O. Cerbu, 404/4")</f>
        <v>Cript. sec.inf. (prel), 
O. Cerbu, 404/4</v>
      </c>
      <c r="J74" s="13" t="str">
        <f ca="1">IFERROR(__xludf.DUMMYFUNCTION("""COMPUTED_VALUE"""),"Ed. compl. (prel), 
M. Valic, 415/4")</f>
        <v>Ed. compl. (prel), 
M. Valic, 415/4</v>
      </c>
      <c r="K74" s="14" t="str">
        <f ca="1">IFERROR(__xludf.DUMMYFUNCTION("""COMPUTED_VALUE"""),"Design UI/UX (prel), 
V. Vișnevschi, 419/4")</f>
        <v>Design UI/UX (prel), 
V. Vișnevschi, 419/4</v>
      </c>
      <c r="L74" s="12"/>
      <c r="M74" s="14" t="str">
        <f ca="1">IFERROR(__xludf.DUMMYFUNCTION("""COMPUTED_VALUE"""),"Cloud comp. (prel), 
N. Nartea, 214/4")</f>
        <v>Cloud comp. (prel), 
N. Nartea, 214/4</v>
      </c>
      <c r="N74" s="12"/>
      <c r="O74" s="14"/>
    </row>
    <row r="75" spans="1:15" ht="26.4" x14ac:dyDescent="0.25">
      <c r="A75" s="31"/>
      <c r="B75" s="15" t="str">
        <f ca="1">IFERROR(__xludf.DUMMYFUNCTION("""COMPUTED_VALUE"""),"III
 18:30-20:00")</f>
        <v>III
 18:30-20:00</v>
      </c>
      <c r="C75" s="16" t="str">
        <f ca="1">IFERROR(__xludf.DUMMYFUNCTION("""COMPUTED_VALUE"""),"Utilizare TI (lab), C. Țurcan, 9/2a")</f>
        <v>Utilizare TI (lab), C. Țurcan, 9/2a</v>
      </c>
      <c r="D75" s="17" t="str">
        <f ca="1">IFERROR(__xludf.DUMMYFUNCTION("""COMPUTED_VALUE"""),"Rețele de calc. (prel), 
E. Cuznețov, 113/4")</f>
        <v>Rețele de calc. (prel), 
E. Cuznețov, 113/4</v>
      </c>
      <c r="E75" s="17" t="str">
        <f ca="1">IFERROR(__xludf.DUMMYFUNCTION("""COMPUTED_VALUE"""),"Rețele de calc. (prel), 
E. Cuznețov, 113/4")</f>
        <v>Rețele de calc. (prel), 
E. Cuznețov, 113/4</v>
      </c>
      <c r="F75" s="17" t="str">
        <f ca="1">IFERROR(__xludf.DUMMYFUNCTION("""COMPUTED_VALUE"""),"Rețele de calc. (prel), 
E. Cuznețov, 113/4")</f>
        <v>Rețele de calc. (prel), 
E. Cuznețov, 113/4</v>
      </c>
      <c r="G75" s="18" t="str">
        <f ca="1">IFERROR(__xludf.DUMMYFUNCTION("""COMPUTED_VALUE"""),"Python (prel), 
V. Trebiș, 401/4")</f>
        <v>Python (prel), 
V. Trebiș, 401/4</v>
      </c>
      <c r="H75" s="16" t="str">
        <f ca="1">IFERROR(__xludf.DUMMYFUNCTION("""COMPUTED_VALUE"""),"Cript. sec.inf. (prel), 
O. Cerbu, 404/4")</f>
        <v>Cript. sec.inf. (prel), 
O. Cerbu, 404/4</v>
      </c>
      <c r="I75" s="17" t="str">
        <f ca="1">IFERROR(__xludf.DUMMYFUNCTION("""COMPUTED_VALUE"""),"Cript. sec.inf. (prel), 
O. Cerbu, 404/4")</f>
        <v>Cript. sec.inf. (prel), 
O. Cerbu, 404/4</v>
      </c>
      <c r="J75" s="17" t="str">
        <f ca="1">IFERROR(__xludf.DUMMYFUNCTION("""COMPUTED_VALUE"""),"Ed. compl. (sem), 
M. Valic, 415/4")</f>
        <v>Ed. compl. (sem), 
M. Valic, 415/4</v>
      </c>
      <c r="K75" s="18" t="str">
        <f ca="1">IFERROR(__xludf.DUMMYFUNCTION("""COMPUTED_VALUE"""),"Design UI/UX (prel), 
V. Vișnevschi, 419/4")</f>
        <v>Design UI/UX (prel), 
V. Vișnevschi, 419/4</v>
      </c>
      <c r="L75" s="16"/>
      <c r="M75" s="18" t="str">
        <f ca="1">IFERROR(__xludf.DUMMYFUNCTION("""COMPUTED_VALUE"""),"Cloud comp. (prel), 
N. Nartea, 214/4")</f>
        <v>Cloud comp. (prel), 
N. Nartea, 214/4</v>
      </c>
      <c r="N75" s="16"/>
      <c r="O75" s="18"/>
    </row>
    <row r="76" spans="1:15" ht="13.2" x14ac:dyDescent="0.25">
      <c r="A76" s="29" t="str">
        <f ca="1">IFERROR(__xludf.DUMMYFUNCTION("""COMPUTED_VALUE"""),"Joi,
11.12.2025")</f>
        <v>Joi,
11.12.2025</v>
      </c>
      <c r="B76" s="19" t="str">
        <f ca="1">IFERROR(__xludf.DUMMYFUNCTION("""COMPUTED_VALUE"""),"13:15-14:45")</f>
        <v>13:15-14:45</v>
      </c>
      <c r="C76" s="20"/>
      <c r="D76" s="21"/>
      <c r="E76" s="21"/>
      <c r="F76" s="21"/>
      <c r="G76" s="22"/>
      <c r="H76" s="20"/>
      <c r="I76" s="21"/>
      <c r="J76" s="21"/>
      <c r="K76" s="22"/>
      <c r="L76" s="20"/>
      <c r="M76" s="22"/>
      <c r="N76" s="20"/>
      <c r="O76" s="22"/>
    </row>
    <row r="77" spans="1:15" ht="39.6" x14ac:dyDescent="0.25">
      <c r="A77" s="30"/>
      <c r="B77" s="11" t="str">
        <f ca="1">IFERROR(__xludf.DUMMYFUNCTION("""COMPUTED_VALUE""")," I
15:00-16:30")</f>
        <v xml:space="preserve"> I
15:00-16:30</v>
      </c>
      <c r="C77" s="12"/>
      <c r="D77" s="13" t="str">
        <f ca="1">IFERROR(__xludf.DUMMYFUNCTION("""COMPUTED_VALUE""")," II: Rețele de calc. (lab), 
E. Cuznețov, 237/4")</f>
        <v xml:space="preserve"> II: Rețele de calc. (lab), 
E. Cuznețov, 237/4</v>
      </c>
      <c r="E77" s="13"/>
      <c r="F77" s="13"/>
      <c r="G77" s="14" t="str">
        <f ca="1">IFERROR(__xludf.DUMMYFUNCTION("""COMPUTED_VALUE"""),"L. rom. (sem), E. Braguță, 415/4")</f>
        <v>L. rom. (sem), E. Braguță, 415/4</v>
      </c>
      <c r="H77" s="12"/>
      <c r="I77" s="13"/>
      <c r="J77" s="13"/>
      <c r="K77" s="14"/>
      <c r="L77" s="12"/>
      <c r="M77" s="14"/>
      <c r="N77" s="12"/>
      <c r="O77" s="14"/>
    </row>
    <row r="78" spans="1:15" ht="26.4" x14ac:dyDescent="0.25">
      <c r="A78" s="30"/>
      <c r="B78" s="11" t="str">
        <f ca="1">IFERROR(__xludf.DUMMYFUNCTION("""COMPUTED_VALUE"""),"II
 16:45-18:15")</f>
        <v>II
 16:45-18:15</v>
      </c>
      <c r="C78" s="12" t="str">
        <f ca="1">IFERROR(__xludf.DUMMYFUNCTION("""COMPUTED_VALUE"""),"Alg. graf. (prel), A. Niculiță, 214/4")</f>
        <v>Alg. graf. (prel), A. Niculiță, 214/4</v>
      </c>
      <c r="D78" s="13" t="str">
        <f ca="1">IFERROR(__xludf.DUMMYFUNCTION("""COMPUTED_VALUE""")," I: POO (lab), 
A. Arnaut, 145/4")</f>
        <v xml:space="preserve"> I: POO (lab), 
A. Arnaut, 145/4</v>
      </c>
      <c r="E78" s="13" t="str">
        <f ca="1">IFERROR(__xludf.DUMMYFUNCTION("""COMPUTED_VALUE""")," I: Javascript (lab), 
A. Donu, 423/4")</f>
        <v xml:space="preserve"> I: Javascript (lab), 
A. Donu, 423/4</v>
      </c>
      <c r="F78" s="13" t="str">
        <f ca="1">IFERROR(__xludf.DUMMYFUNCTION("""COMPUTED_VALUE"""),"POO (lab), 
A. Arnaut, 145/4")</f>
        <v>POO (lab), 
A. Arnaut, 145/4</v>
      </c>
      <c r="G78" s="14" t="str">
        <f ca="1">IFERROR(__xludf.DUMMYFUNCTION("""COMPUTED_VALUE"""),"Rețele de calc. (prel), 
E. Cuznețov, 404/4")</f>
        <v>Rețele de calc. (prel), 
E. Cuznețov, 404/4</v>
      </c>
      <c r="H78" s="12" t="str">
        <f ca="1">IFERROR(__xludf.DUMMYFUNCTION("""COMPUTED_VALUE"""),"Alg. str. date (prel), 
S. Corlat, 213a/4")</f>
        <v>Alg. str. date (prel), 
S. Corlat, 213a/4</v>
      </c>
      <c r="I78" s="13" t="str">
        <f ca="1">IFERROR(__xludf.DUMMYFUNCTION("""COMPUTED_VALUE"""),"Alg. str. date (prel), 
S. Corlat, 213a/4")</f>
        <v>Alg. str. date (prel), 
S. Corlat, 213a/4</v>
      </c>
      <c r="J78" s="13" t="str">
        <f ca="1">IFERROR(__xludf.DUMMYFUNCTION("""COMPUTED_VALUE"""),"Alg. str. date (prel), 
S. Corlat, 213a/4")</f>
        <v>Alg. str. date (prel), 
S. Corlat, 213a/4</v>
      </c>
      <c r="K78" s="14" t="str">
        <f ca="1">IFERROR(__xludf.DUMMYFUNCTION("""COMPUTED_VALUE"""),"GA 2D (prel), 
T. Iațîșina, 415/4")</f>
        <v>GA 2D (prel), 
T. Iațîșina, 415/4</v>
      </c>
      <c r="L78" s="12" t="str">
        <f ca="1">IFERROR(__xludf.DUMMYFUNCTION("""COMPUTED_VALUE""")," I: IA (lab), 
T. Bumbu, 419/4")</f>
        <v xml:space="preserve"> I: IA (lab), 
T. Bumbu, 419/4</v>
      </c>
      <c r="M78" s="14"/>
      <c r="N78" s="12" t="str">
        <f ca="1">IFERROR(__xludf.DUMMYFUNCTION("""COMPUTED_VALUE"""),"Admin. sec. RC (prel),
O. Cerbu, 113/4")</f>
        <v>Admin. sec. RC (prel),
O. Cerbu, 113/4</v>
      </c>
      <c r="O78" s="14" t="str">
        <f ca="1">IFERROR(__xludf.DUMMYFUNCTION("""COMPUTED_VALUE"""),"Aspecte etice (prel), 
M. Marin, 219/4a")</f>
        <v>Aspecte etice (prel), 
M. Marin, 219/4a</v>
      </c>
    </row>
    <row r="79" spans="1:15" ht="26.4" x14ac:dyDescent="0.25">
      <c r="A79" s="31"/>
      <c r="B79" s="15" t="str">
        <f ca="1">IFERROR(__xludf.DUMMYFUNCTION("""COMPUTED_VALUE"""),"III
 18:30-20:00")</f>
        <v>III
 18:30-20:00</v>
      </c>
      <c r="C79" s="16" t="str">
        <f ca="1">IFERROR(__xludf.DUMMYFUNCTION("""COMPUTED_VALUE"""),"Alg. graf. (prel), A. Niculiță, 214/4")</f>
        <v>Alg. graf. (prel), A. Niculiță, 214/4</v>
      </c>
      <c r="D79" s="17" t="str">
        <f ca="1">IFERROR(__xludf.DUMMYFUNCTION("""COMPUTED_VALUE""")," I: POO (lab), 
A. Arnaut, 145/4")</f>
        <v xml:space="preserve"> I: POO (lab), 
A. Arnaut, 145/4</v>
      </c>
      <c r="E79" s="17" t="str">
        <f ca="1">IFERROR(__xludf.DUMMYFUNCTION("""COMPUTED_VALUE""")," I: Javascript (lab), 
A. Donu, 423/4")</f>
        <v xml:space="preserve"> I: Javascript (lab), 
A. Donu, 423/4</v>
      </c>
      <c r="F79" s="17" t="str">
        <f ca="1">IFERROR(__xludf.DUMMYFUNCTION("""COMPUTED_VALUE"""),"POO (lab), 
A. Arnaut, 145/4")</f>
        <v>POO (lab), 
A. Arnaut, 145/4</v>
      </c>
      <c r="G79" s="18" t="str">
        <f ca="1">IFERROR(__xludf.DUMMYFUNCTION("""COMPUTED_VALUE"""),"Rețele de calc. (prel), 
E. Cuznețov, 404/4")</f>
        <v>Rețele de calc. (prel), 
E. Cuznețov, 404/4</v>
      </c>
      <c r="H79" s="16" t="str">
        <f ca="1">IFERROR(__xludf.DUMMYFUNCTION("""COMPUTED_VALUE"""),"Alg. str. date (prel), 
S. Corlat, 213a/4")</f>
        <v>Alg. str. date (prel), 
S. Corlat, 213a/4</v>
      </c>
      <c r="I79" s="17" t="str">
        <f ca="1">IFERROR(__xludf.DUMMYFUNCTION("""COMPUTED_VALUE"""),"Alg. str. date (prel), 
S. Corlat, 213a/4")</f>
        <v>Alg. str. date (prel), 
S. Corlat, 213a/4</v>
      </c>
      <c r="J79" s="17" t="str">
        <f ca="1">IFERROR(__xludf.DUMMYFUNCTION("""COMPUTED_VALUE"""),"Alg. str. date (prel), 
S. Corlat, 213a/4")</f>
        <v>Alg. str. date (prel), 
S. Corlat, 213a/4</v>
      </c>
      <c r="K79" s="18" t="str">
        <f ca="1">IFERROR(__xludf.DUMMYFUNCTION("""COMPUTED_VALUE"""),"GA 2D (prel), 
T. Iațîșina, 415/4")</f>
        <v>GA 2D (prel), 
T. Iațîșina, 415/4</v>
      </c>
      <c r="L79" s="16" t="str">
        <f ca="1">IFERROR(__xludf.DUMMYFUNCTION("""COMPUTED_VALUE""")," I: IA (lab), 
T. Bumbu, 419/4")</f>
        <v xml:space="preserve"> I: IA (lab), 
T. Bumbu, 419/4</v>
      </c>
      <c r="M79" s="18"/>
      <c r="N79" s="16" t="str">
        <f ca="1">IFERROR(__xludf.DUMMYFUNCTION("""COMPUTED_VALUE"""),"Admin. sec. RC (prel),
O. Cerbu, 113/4")</f>
        <v>Admin. sec. RC (prel),
O. Cerbu, 113/4</v>
      </c>
      <c r="O79" s="18" t="str">
        <f ca="1">IFERROR(__xludf.DUMMYFUNCTION("""COMPUTED_VALUE"""),"Aspecte etice (prel), 
M. Marin, 219/4a")</f>
        <v>Aspecte etice (prel), 
M. Marin, 219/4a</v>
      </c>
    </row>
    <row r="80" spans="1:15" ht="26.4" x14ac:dyDescent="0.25">
      <c r="A80" s="29" t="str">
        <f ca="1">IFERROR(__xludf.DUMMYFUNCTION("""COMPUTED_VALUE"""),"Vineri,
12.12.2025")</f>
        <v>Vineri,
12.12.2025</v>
      </c>
      <c r="B80" s="19" t="str">
        <f ca="1">IFERROR(__xludf.DUMMYFUNCTION("""COMPUTED_VALUE""")," I
15:00-16:30")</f>
        <v xml:space="preserve"> I
15:00-16:30</v>
      </c>
      <c r="C80" s="20"/>
      <c r="D80" s="21"/>
      <c r="E80" s="21"/>
      <c r="F80" s="21"/>
      <c r="G80" s="22"/>
      <c r="H80" s="20"/>
      <c r="I80" s="21"/>
      <c r="J80" s="21" t="str">
        <f ca="1">IFERROR(__xludf.DUMMYFUNCTION("""COMPUTED_VALUE"""),"Ed. compl. (sem), 
M. Valic, 419/4")</f>
        <v>Ed. compl. (sem), 
M. Valic, 419/4</v>
      </c>
      <c r="K80" s="22" t="str">
        <f ca="1">IFERROR(__xludf.DUMMYFUNCTION("""COMPUTED_VALUE"""),"Alg. str. date (lab), 
S. Corlat, 251/4")</f>
        <v>Alg. str. date (lab), 
S. Corlat, 251/4</v>
      </c>
      <c r="L80" s="20"/>
      <c r="M80" s="22"/>
      <c r="N80" s="20"/>
      <c r="O80" s="22"/>
    </row>
    <row r="81" spans="1:15" ht="26.4" x14ac:dyDescent="0.25">
      <c r="A81" s="30"/>
      <c r="B81" s="11" t="str">
        <f ca="1">IFERROR(__xludf.DUMMYFUNCTION("""COMPUTED_VALUE"""),"II
 16:45-18:15")</f>
        <v>II
 16:45-18:15</v>
      </c>
      <c r="C81" s="12" t="str">
        <f ca="1">IFERROR(__xludf.DUMMYFUNCTION("""COMPUTED_VALUE"""),"Structuri algebrice (prel), P. Sârbu, 218/4")</f>
        <v>Structuri algebrice (prel), P. Sârbu, 218/4</v>
      </c>
      <c r="D81" s="13" t="str">
        <f ca="1">IFERROR(__xludf.DUMMYFUNCTION("""COMPUTED_VALUE"""),"Python (prel), 
V. Trebiș, 213a/4")</f>
        <v>Python (prel), 
V. Trebiș, 213a/4</v>
      </c>
      <c r="E81" s="13" t="str">
        <f ca="1">IFERROR(__xludf.DUMMYFUNCTION("""COMPUTED_VALUE"""),"Python (prel), 
V. Trebiș, 213a/4")</f>
        <v>Python (prel), 
V. Trebiș, 213a/4</v>
      </c>
      <c r="F81" s="13"/>
      <c r="G81" s="14" t="str">
        <f ca="1">IFERROR(__xludf.DUMMYFUNCTION("""COMPUTED_VALUE"""),"Javascript (prel), 
N. Nartea, 214/4")</f>
        <v>Javascript (prel), 
N. Nartea, 214/4</v>
      </c>
      <c r="H81" s="12" t="str">
        <f ca="1">IFERROR(__xludf.DUMMYFUNCTION("""COMPUTED_VALUE"""),"GA 2D (prel), 
A. Șchiopu, 404/4")</f>
        <v>GA 2D (prel), 
A. Șchiopu, 404/4</v>
      </c>
      <c r="I81" s="13" t="str">
        <f ca="1">IFERROR(__xludf.DUMMYFUNCTION("""COMPUTED_VALUE"""),"GA 2D (prel), 
A. Șchiopu, 404/4")</f>
        <v>GA 2D (prel), 
A. Șchiopu, 404/4</v>
      </c>
      <c r="J81" s="13"/>
      <c r="K81" s="14" t="str">
        <f ca="1">IFERROR(__xludf.DUMMYFUNCTION("""COMPUTED_VALUE"""),"Proiect. SI. (prel), 
A. Gladei, 415/4")</f>
        <v>Proiect. SI. (prel), 
A. Gladei, 415/4</v>
      </c>
      <c r="L81" s="12" t="str">
        <f ca="1">IFERROR(__xludf.DUMMYFUNCTION("""COMPUTED_VALUE"""),"Dezv. apl. mob. (prel), 
C. Crudu, 401/4")</f>
        <v>Dezv. apl. mob. (prel), 
C. Crudu, 401/4</v>
      </c>
      <c r="M81" s="14" t="str">
        <f ca="1">IFERROR(__xludf.DUMMYFUNCTION("""COMPUTED_VALUE"""),"IA (lab), 
T. Bumbu, 251/4")</f>
        <v>IA (lab), 
T. Bumbu, 251/4</v>
      </c>
      <c r="N81" s="12"/>
      <c r="O81" s="14" t="str">
        <f ca="1">IFERROR(__xludf.DUMMYFUNCTION("""COMPUTED_VALUE"""),"Dezv. int. ad. (prel),
M. Butnaru, 419/4")</f>
        <v>Dezv. int. ad. (prel),
M. Butnaru, 419/4</v>
      </c>
    </row>
    <row r="82" spans="1:15" ht="26.4" x14ac:dyDescent="0.25">
      <c r="A82" s="31"/>
      <c r="B82" s="15" t="str">
        <f ca="1">IFERROR(__xludf.DUMMYFUNCTION("""COMPUTED_VALUE"""),"III
 18:30-20:00")</f>
        <v>III
 18:30-20:00</v>
      </c>
      <c r="C82" s="16" t="str">
        <f ca="1">IFERROR(__xludf.DUMMYFUNCTION("""COMPUTED_VALUE"""),"Structuri algebrice (prel), P. Sârbu, 218/4")</f>
        <v>Structuri algebrice (prel), P. Sârbu, 218/4</v>
      </c>
      <c r="D82" s="17" t="str">
        <f ca="1">IFERROR(__xludf.DUMMYFUNCTION("""COMPUTED_VALUE"""),"Python (prel), 
V. Trebiș, 213a/4")</f>
        <v>Python (prel), 
V. Trebiș, 213a/4</v>
      </c>
      <c r="E82" s="17" t="str">
        <f ca="1">IFERROR(__xludf.DUMMYFUNCTION("""COMPUTED_VALUE"""),"Python (prel), 
V. Trebiș, 213a/4")</f>
        <v>Python (prel), 
V. Trebiș, 213a/4</v>
      </c>
      <c r="F82" s="17"/>
      <c r="G82" s="18" t="str">
        <f ca="1">IFERROR(__xludf.DUMMYFUNCTION("""COMPUTED_VALUE"""),"Javascript (prel), 
N. Nartea, 214/4")</f>
        <v>Javascript (prel), 
N. Nartea, 214/4</v>
      </c>
      <c r="H82" s="16" t="str">
        <f ca="1">IFERROR(__xludf.DUMMYFUNCTION("""COMPUTED_VALUE"""),"GA 2D (prel), 
A. Șchiopu, 404/4")</f>
        <v>GA 2D (prel), 
A. Șchiopu, 404/4</v>
      </c>
      <c r="I82" s="17" t="str">
        <f ca="1">IFERROR(__xludf.DUMMYFUNCTION("""COMPUTED_VALUE"""),"GA 2D (prel), 
A. Șchiopu, 404/4")</f>
        <v>GA 2D (prel), 
A. Șchiopu, 404/4</v>
      </c>
      <c r="J82" s="17"/>
      <c r="K82" s="18" t="str">
        <f ca="1">IFERROR(__xludf.DUMMYFUNCTION("""COMPUTED_VALUE"""),"Proiect. SI. (prel), 
A. Gladei, 415/4")</f>
        <v>Proiect. SI. (prel), 
A. Gladei, 415/4</v>
      </c>
      <c r="L82" s="16" t="str">
        <f ca="1">IFERROR(__xludf.DUMMYFUNCTION("""COMPUTED_VALUE"""),"Dezv. apl. mob. (prel), 
C. Crudu, 401/4")</f>
        <v>Dezv. apl. mob. (prel), 
C. Crudu, 401/4</v>
      </c>
      <c r="M82" s="18" t="str">
        <f ca="1">IFERROR(__xludf.DUMMYFUNCTION("""COMPUTED_VALUE"""),"IA (lab), 
T. Bumbu, 251/4")</f>
        <v>IA (lab), 
T. Bumbu, 251/4</v>
      </c>
      <c r="N82" s="16"/>
      <c r="O82" s="18" t="str">
        <f ca="1">IFERROR(__xludf.DUMMYFUNCTION("""COMPUTED_VALUE"""),"Dezv. int. ad. (prel),
M. Butnaru, 419/4")</f>
        <v>Dezv. int. ad. (prel),
M. Butnaru, 419/4</v>
      </c>
    </row>
    <row r="83" spans="1:15" ht="26.4" x14ac:dyDescent="0.25">
      <c r="A83" s="29" t="str">
        <f ca="1">IFERROR(__xludf.DUMMYFUNCTION("""COMPUTED_VALUE"""),"Sîmbătă,
13.12.2025")</f>
        <v>Sîmbătă,
13.12.2025</v>
      </c>
      <c r="B83" s="19" t="str">
        <f ca="1">IFERROR(__xludf.DUMMYFUNCTION("""COMPUTED_VALUE"""),"I
 08:00-9:30")</f>
        <v>I
 08:00-9:30</v>
      </c>
      <c r="C83" s="20"/>
      <c r="D83" s="21"/>
      <c r="E83" s="21"/>
      <c r="F83" s="21"/>
      <c r="G83" s="22"/>
      <c r="H83" s="20"/>
      <c r="I83" s="21"/>
      <c r="J83" s="21"/>
      <c r="K83" s="22"/>
      <c r="L83" s="20"/>
      <c r="M83" s="22"/>
      <c r="N83" s="20"/>
      <c r="O83" s="22"/>
    </row>
    <row r="84" spans="1:15" ht="39.6" x14ac:dyDescent="0.25">
      <c r="A84" s="30"/>
      <c r="B84" s="11" t="str">
        <f ca="1">IFERROR(__xludf.DUMMYFUNCTION("""COMPUTED_VALUE"""),"II
 09:45-11:15")</f>
        <v>II
 09:45-11:15</v>
      </c>
      <c r="C84" s="12" t="str">
        <f ca="1">IFERROR(__xludf.DUMMYFUNCTION("""COMPUTED_VALUE"""),"Analiza matem. (prel), V. Guțu, 415/4")</f>
        <v>Analiza matem. (prel), V. Guțu, 415/4</v>
      </c>
      <c r="D84" s="13"/>
      <c r="E84" s="13" t="str">
        <f ca="1">IFERROR(__xludf.DUMMYFUNCTION("""COMPUTED_VALUE""")," I: Rețele de calc. (lab), 
E. Cuznețov, 239/4")</f>
        <v xml:space="preserve"> I: Rețele de calc. (lab), 
E. Cuznețov, 239/4</v>
      </c>
      <c r="F84" s="13" t="str">
        <f ca="1">IFERROR(__xludf.DUMMYFUNCTION("""COMPUTED_VALUE"""),"Rețele de calc. (lab), 
E. Cuznețov, 239/4")</f>
        <v>Rețele de calc. (lab), 
E. Cuznețov, 239/4</v>
      </c>
      <c r="G84" s="14"/>
      <c r="H84" s="12"/>
      <c r="I84" s="13"/>
      <c r="J84" s="13"/>
      <c r="K84" s="14"/>
      <c r="L84" s="12" t="str">
        <f ca="1">IFERROR(__xludf.DUMMYFUNCTION("""COMPUTED_VALUE"""),"Cloud comp. (prel), 
A. Prepeliță, 218/4")</f>
        <v>Cloud comp. (prel), 
A. Prepeliță, 218/4</v>
      </c>
      <c r="M84" s="14"/>
      <c r="N84" s="12"/>
      <c r="O84" s="14"/>
    </row>
    <row r="85" spans="1:15" ht="52.8" x14ac:dyDescent="0.25">
      <c r="A85" s="30"/>
      <c r="B85" s="11" t="str">
        <f ca="1">IFERROR(__xludf.DUMMYFUNCTION("""COMPUTED_VALUE"""),"III
 11:30-13:00")</f>
        <v>III
 11:30-13:00</v>
      </c>
      <c r="C85" s="12" t="str">
        <f ca="1">IFERROR(__xludf.DUMMYFUNCTION("""COMPUTED_VALUE"""),"Analiza matem. (sem), V. Guțu, 415/4")</f>
        <v>Analiza matem. (sem), V. Guțu, 415/4</v>
      </c>
      <c r="D85" s="13"/>
      <c r="E85" s="13" t="str">
        <f ca="1">IFERROR(__xludf.DUMMYFUNCTION("""COMPUTED_VALUE""")," I: Rețele de calc. (lab), 
E. Cuznețov, 239/4")</f>
        <v xml:space="preserve"> I: Rețele de calc. (lab), 
E. Cuznețov, 239/4</v>
      </c>
      <c r="F85" s="13" t="str">
        <f ca="1">IFERROR(__xludf.DUMMYFUNCTION("""COMPUTED_VALUE"""),"Rețele de calc. (lab), 
E. Cuznețov, 239/4")</f>
        <v>Rețele de calc. (lab), 
E. Cuznețov, 239/4</v>
      </c>
      <c r="G85" s="14" t="str">
        <f ca="1">IFERROR(__xludf.DUMMYFUNCTION("""COMPUTED_VALUE""")," I: Javascript (lab), 
N. Nartea, 145/4
 II: POO (lab), 
Gh. Latul, 216a/4a")</f>
        <v xml:space="preserve"> I: Javascript (lab), 
N. Nartea, 145/4
 II: POO (lab), 
Gh. Latul, 216a/4a</v>
      </c>
      <c r="H85" s="12" t="str">
        <f ca="1">IFERROR(__xludf.DUMMYFUNCTION("""COMPUTED_VALUE"""),"Design UI/UX (prel), 
E. Mîndru, 419/4")</f>
        <v>Design UI/UX (prel), 
E. Mîndru, 419/4</v>
      </c>
      <c r="I85" s="13" t="str">
        <f ca="1">IFERROR(__xludf.DUMMYFUNCTION("""COMPUTED_VALUE"""),"Design UI/UX (prel), 
E. Mîndru, 419/4")</f>
        <v>Design UI/UX (prel), 
E. Mîndru, 419/4</v>
      </c>
      <c r="J85" s="13"/>
      <c r="K85" s="14"/>
      <c r="L85" s="12" t="str">
        <f ca="1">IFERROR(__xludf.DUMMYFUNCTION("""COMPUTED_VALUE"""),"Cloud comp. (prel), 
A. Prepeliță, 218/4")</f>
        <v>Cloud comp. (prel), 
A. Prepeliță, 218/4</v>
      </c>
      <c r="M85" s="14"/>
      <c r="N85" s="12"/>
      <c r="O85" s="14"/>
    </row>
    <row r="86" spans="1:15" ht="52.8" x14ac:dyDescent="0.25">
      <c r="A86" s="30"/>
      <c r="B86" s="11" t="str">
        <f ca="1">IFERROR(__xludf.DUMMYFUNCTION("""COMPUTED_VALUE"""),"IV
 13:15-14:45")</f>
        <v>IV
 13:15-14:45</v>
      </c>
      <c r="C86" s="12"/>
      <c r="D86" s="13" t="str">
        <f ca="1">IFERROR(__xludf.DUMMYFUNCTION("""COMPUTED_VALUE""")," I: Python (lab), 
V. Trebiș, 145a/4")</f>
        <v xml:space="preserve"> I: Python (lab), 
V. Trebiș, 145a/4</v>
      </c>
      <c r="E86" s="13" t="str">
        <f ca="1">IFERROR(__xludf.DUMMYFUNCTION("""COMPUTED_VALUE""")," II: Javascript (lab), 
A. Donu, 143/4")</f>
        <v xml:space="preserve"> II: Javascript (lab), 
A. Donu, 143/4</v>
      </c>
      <c r="F86" s="13"/>
      <c r="G86" s="14" t="str">
        <f ca="1">IFERROR(__xludf.DUMMYFUNCTION("""COMPUTED_VALUE""")," I: Javascript (lab), 
N. Nartea, 423/4
 II: POO (lab), 
Gh. Latul, 216a/4a")</f>
        <v xml:space="preserve"> I: Javascript (lab), 
N. Nartea, 423/4
 II: POO (lab), 
Gh. Latul, 216a/4a</v>
      </c>
      <c r="H86" s="12" t="str">
        <f ca="1">IFERROR(__xludf.DUMMYFUNCTION("""COMPUTED_VALUE"""),"Design UI/UX (prel), 
E. Mîndru, 419/4")</f>
        <v>Design UI/UX (prel), 
E. Mîndru, 419/4</v>
      </c>
      <c r="I86" s="13" t="str">
        <f ca="1">IFERROR(__xludf.DUMMYFUNCTION("""COMPUTED_VALUE"""),"Design UI/UX (prel), 
E. Mîndru, 419/4")</f>
        <v>Design UI/UX (prel), 
E. Mîndru, 419/4</v>
      </c>
      <c r="J86" s="13"/>
      <c r="K86" s="14" t="str">
        <f ca="1">IFERROR(__xludf.DUMMYFUNCTION("""COMPUTED_VALUE"""),"Politologie (prel), 
 T. Turco, 415/4")</f>
        <v>Politologie (prel), 
 T. Turco, 415/4</v>
      </c>
      <c r="L86" s="12" t="str">
        <f ca="1">IFERROR(__xludf.DUMMYFUNCTION("""COMPUTED_VALUE"""),"Design soft. (prel), 
G-C. Stănescu, 404/4")</f>
        <v>Design soft. (prel), 
G-C. Stănescu, 404/4</v>
      </c>
      <c r="M86" s="14" t="str">
        <f ca="1">IFERROR(__xludf.DUMMYFUNCTION("""COMPUTED_VALUE"""),"Spring (prel), 
M. Dodi, 214/4")</f>
        <v>Spring (prel), 
M. Dodi, 214/4</v>
      </c>
      <c r="N86" s="12"/>
      <c r="O86" s="14"/>
    </row>
    <row r="87" spans="1:15" ht="52.8" x14ac:dyDescent="0.25">
      <c r="A87" s="30"/>
      <c r="B87" s="11" t="str">
        <f ca="1">IFERROR(__xludf.DUMMYFUNCTION("""COMPUTED_VALUE""")," V
15:00-16:30")</f>
        <v xml:space="preserve"> V
15:00-16:30</v>
      </c>
      <c r="C87" s="12"/>
      <c r="D87" s="13" t="str">
        <f ca="1">IFERROR(__xludf.DUMMYFUNCTION("""COMPUTED_VALUE""")," I: Python (lab), 
V. Trebiș, 326/4")</f>
        <v xml:space="preserve"> I: Python (lab), 
V. Trebiș, 326/4</v>
      </c>
      <c r="E87" s="13" t="str">
        <f ca="1">IFERROR(__xludf.DUMMYFUNCTION("""COMPUTED_VALUE""")," II: Javascript (lab), 
A. Donu, 143/4")</f>
        <v xml:space="preserve"> II: Javascript (lab), 
A. Donu, 143/4</v>
      </c>
      <c r="F87" s="13"/>
      <c r="G87" s="14" t="str">
        <f ca="1">IFERROR(__xludf.DUMMYFUNCTION("""COMPUTED_VALUE""")," I: POO (lab), 
Gh. Latul, 216a/4a
 II: Javascript (lab), 
N. Nartea, 423/4")</f>
        <v xml:space="preserve"> I: POO (lab), 
Gh. Latul, 216a/4a
 II: Javascript (lab), 
N. Nartea, 423/4</v>
      </c>
      <c r="H87" s="12" t="str">
        <f ca="1">IFERROR(__xludf.DUMMYFUNCTION("""COMPUTED_VALUE"""),"Proiect. SI. (lab), 
A. Gladei, 251/4")</f>
        <v>Proiect. SI. (lab), 
A. Gladei, 251/4</v>
      </c>
      <c r="I87" s="13" t="str">
        <f ca="1">IFERROR(__xludf.DUMMYFUNCTION("""COMPUTED_VALUE"""),"Alg. str. date (lab), 
O. Cerbu, 237/4")</f>
        <v>Alg. str. date (lab), 
O. Cerbu, 237/4</v>
      </c>
      <c r="J87" s="13" t="str">
        <f ca="1">IFERROR(__xludf.DUMMYFUNCTION("""COMPUTED_VALUE"""),"Proiect. SI. (lab), 
A. Gladei, 251/4")</f>
        <v>Proiect. SI. (lab), 
A. Gladei, 251/4</v>
      </c>
      <c r="K87" s="14" t="str">
        <f ca="1">IFERROR(__xludf.DUMMYFUNCTION("""COMPUTED_VALUE"""),"Politologie (prel), 
 T. Turco, 415/4")</f>
        <v>Politologie (prel), 
 T. Turco, 415/4</v>
      </c>
      <c r="L87" s="12" t="str">
        <f ca="1">IFERROR(__xludf.DUMMYFUNCTION("""COMPUTED_VALUE"""),"Design soft. (prel), 
G-C. Stănescu, 404/4")</f>
        <v>Design soft. (prel), 
G-C. Stănescu, 404/4</v>
      </c>
      <c r="M87" s="14" t="str">
        <f ca="1">IFERROR(__xludf.DUMMYFUNCTION("""COMPUTED_VALUE"""),"Spring (prel), 
M. Dodi, 214/4")</f>
        <v>Spring (prel), 
M. Dodi, 214/4</v>
      </c>
      <c r="N87" s="12"/>
      <c r="O87" s="14"/>
    </row>
    <row r="88" spans="1:15" ht="52.8" x14ac:dyDescent="0.25">
      <c r="A88" s="31"/>
      <c r="B88" s="15" t="str">
        <f ca="1">IFERROR(__xludf.DUMMYFUNCTION("""COMPUTED_VALUE"""),"VI
 16:45-18:15")</f>
        <v>VI
 16:45-18:15</v>
      </c>
      <c r="C88" s="16"/>
      <c r="D88" s="17"/>
      <c r="E88" s="17" t="str">
        <f ca="1">IFERROR(__xludf.DUMMYFUNCTION("""COMPUTED_VALUE""")," II: Python (lab), 
V. Trebiș, 326/4")</f>
        <v xml:space="preserve"> II: Python (lab), 
V. Trebiș, 326/4</v>
      </c>
      <c r="F88" s="17"/>
      <c r="G88" s="18" t="str">
        <f ca="1">IFERROR(__xludf.DUMMYFUNCTION("""COMPUTED_VALUE""")," I: POO (lab), 
Gh. Latul, 216a/4a
 II: Javascript (lab), 
N. Nartea, 423/4")</f>
        <v xml:space="preserve"> I: POO (lab), 
Gh. Latul, 216a/4a
 II: Javascript (lab), 
N. Nartea, 423/4</v>
      </c>
      <c r="H88" s="16" t="str">
        <f ca="1">IFERROR(__xludf.DUMMYFUNCTION("""COMPUTED_VALUE"""),"Proiect. SI. (lab), 
A. Gladei, 251/4")</f>
        <v>Proiect. SI. (lab), 
A. Gladei, 251/4</v>
      </c>
      <c r="I88" s="17" t="str">
        <f ca="1">IFERROR(__xludf.DUMMYFUNCTION("""COMPUTED_VALUE"""),"Alg. str. date (lab), 
O. Cerbu, 237/4")</f>
        <v>Alg. str. date (lab), 
O. Cerbu, 237/4</v>
      </c>
      <c r="J88" s="17" t="str">
        <f ca="1">IFERROR(__xludf.DUMMYFUNCTION("""COMPUTED_VALUE"""),"Proiect. SI. (lab), 
A. Gladei, 251/4")</f>
        <v>Proiect. SI. (lab), 
A. Gladei, 251/4</v>
      </c>
      <c r="K88" s="18"/>
      <c r="L88" s="16" t="str">
        <f ca="1">IFERROR(__xludf.DUMMYFUNCTION("""COMPUTED_VALUE"""),"Spring (prel), 
M. Dodi, 143/4")</f>
        <v>Spring (prel), 
M. Dodi, 143/4</v>
      </c>
      <c r="M88" s="18"/>
      <c r="N88" s="16"/>
      <c r="O88" s="18"/>
    </row>
    <row r="89" spans="1:15" ht="26.4" x14ac:dyDescent="0.25">
      <c r="A89" s="29" t="str">
        <f ca="1">IFERROR(__xludf.DUMMYFUNCTION("""COMPUTED_VALUE"""),"Duminică,
14.12.2025")</f>
        <v>Duminică,
14.12.2025</v>
      </c>
      <c r="B89" s="19" t="str">
        <f ca="1">IFERROR(__xludf.DUMMYFUNCTION("""COMPUTED_VALUE"""),"I
 08:00-9:30")</f>
        <v>I
 08:00-9:30</v>
      </c>
      <c r="C89" s="20"/>
      <c r="D89" s="21"/>
      <c r="E89" s="21"/>
      <c r="F89" s="21"/>
      <c r="G89" s="22"/>
      <c r="H89" s="20" t="str">
        <f ca="1">IFERROR(__xludf.DUMMYFUNCTION("""COMPUTED_VALUE"""),"Alg. str. date (lab), 
O. Cerbu, 326/4")</f>
        <v>Alg. str. date (lab), 
O. Cerbu, 326/4</v>
      </c>
      <c r="I89" s="21" t="str">
        <f ca="1">IFERROR(__xludf.DUMMYFUNCTION("""COMPUTED_VALUE"""),"Proiect. SI. (lab), 
A. Gladei, 237/4")</f>
        <v>Proiect. SI. (lab), 
A. Gladei, 237/4</v>
      </c>
      <c r="J89" s="21" t="str">
        <f ca="1">IFERROR(__xludf.DUMMYFUNCTION("""COMPUTED_VALUE"""),"Alg. str. date (lab), 
O. Cerbu, 326/4")</f>
        <v>Alg. str. date (lab), 
O. Cerbu, 326/4</v>
      </c>
      <c r="K89" s="22" t="str">
        <f ca="1">IFERROR(__xludf.DUMMYFUNCTION("""COMPUTED_VALUE"""),"Design UI/UX (prel), 
V. Vișnevschi, 350/4")</f>
        <v>Design UI/UX (prel), 
V. Vișnevschi, 350/4</v>
      </c>
      <c r="L89" s="20"/>
      <c r="M89" s="22"/>
      <c r="N89" s="20"/>
      <c r="O89" s="22"/>
    </row>
    <row r="90" spans="1:15" ht="66" x14ac:dyDescent="0.25">
      <c r="A90" s="30"/>
      <c r="B90" s="11" t="str">
        <f ca="1">IFERROR(__xludf.DUMMYFUNCTION("""COMPUTED_VALUE"""),"II
 09:45-11:15")</f>
        <v>II
 09:45-11:15</v>
      </c>
      <c r="C90" s="12"/>
      <c r="D90" s="13" t="str">
        <f ca="1">IFERROR(__xludf.DUMMYFUNCTION("""COMPUTED_VALUE""")," I: Javascript (lab), 
A. Donu, 145/4
 II: POO (lab), 
A. Arnaut, 145a/4")</f>
        <v xml:space="preserve"> I: Javascript (lab), 
A. Donu, 145/4
 II: POO (lab), 
A. Arnaut, 145a/4</v>
      </c>
      <c r="E90" s="13" t="str">
        <f ca="1">IFERROR(__xludf.DUMMYFUNCTION("""COMPUTED_VALUE""")," I: Python (lab), 
V. Trebiș, 218/4a
 II: Rețele de calc. (lab), 
E. Cuznețov, 219/4a")</f>
        <v xml:space="preserve"> I: Python (lab), 
V. Trebiș, 218/4a
 II: Rețele de calc. (lab), 
E. Cuznețov, 219/4a</v>
      </c>
      <c r="F90" s="13"/>
      <c r="G90" s="14"/>
      <c r="H90" s="12" t="str">
        <f ca="1">IFERROR(__xludf.DUMMYFUNCTION("""COMPUTED_VALUE"""),"Alg. str. date (lab), 
O. Cerbu, 326/4")</f>
        <v>Alg. str. date (lab), 
O. Cerbu, 326/4</v>
      </c>
      <c r="I90" s="13" t="str">
        <f ca="1">IFERROR(__xludf.DUMMYFUNCTION("""COMPUTED_VALUE"""),"Proiect. SI. (lab), 
A. Gladei, 237/4")</f>
        <v>Proiect. SI. (lab), 
A. Gladei, 237/4</v>
      </c>
      <c r="J90" s="13" t="str">
        <f ca="1">IFERROR(__xludf.DUMMYFUNCTION("""COMPUTED_VALUE"""),"Alg. str. date (lab), 
O. Cerbu, 326/4")</f>
        <v>Alg. str. date (lab), 
O. Cerbu, 326/4</v>
      </c>
      <c r="K90" s="14" t="str">
        <f ca="1">IFERROR(__xludf.DUMMYFUNCTION("""COMPUTED_VALUE"""),"Design UI/UX (prel), 
V. Vișnevschi, 350/4")</f>
        <v>Design UI/UX (prel), 
V. Vișnevschi, 350/4</v>
      </c>
      <c r="L90" s="12" t="str">
        <f ca="1">IFERROR(__xludf.DUMMYFUNCTION("""COMPUTED_VALUE""")," I: Cloud comp. (lab), 
A. Prepeliță, 251/4
 II: Design soft. (lab), 
G-C. Stănescu, 423/4")</f>
        <v xml:space="preserve"> I: Cloud comp. (lab), 
A. Prepeliță, 251/4
 II: Design soft. (lab), 
G-C. Stănescu, 423/4</v>
      </c>
      <c r="M90" s="14"/>
      <c r="N90" s="12"/>
      <c r="O90" s="14"/>
    </row>
    <row r="91" spans="1:15" ht="66" x14ac:dyDescent="0.25">
      <c r="A91" s="30"/>
      <c r="B91" s="11" t="str">
        <f ca="1">IFERROR(__xludf.DUMMYFUNCTION("""COMPUTED_VALUE"""),"III
 11:30-13:00")</f>
        <v>III
 11:30-13:00</v>
      </c>
      <c r="C91" s="12"/>
      <c r="D91" s="13" t="str">
        <f ca="1">IFERROR(__xludf.DUMMYFUNCTION("""COMPUTED_VALUE""")," I: Javascript (lab), 
A. Donu, 145/4
 II: POO (lab), 
A. Arnaut, 145a/4")</f>
        <v xml:space="preserve"> I: Javascript (lab), 
A. Donu, 145/4
 II: POO (lab), 
A. Arnaut, 145a/4</v>
      </c>
      <c r="E91" s="13" t="str">
        <f ca="1">IFERROR(__xludf.DUMMYFUNCTION("""COMPUTED_VALUE""")," I: Python (lab), 
V. Trebiș, 218/4a
 II: Rețele de calc. (lab), 
E. Cuznețov, 219/4a")</f>
        <v xml:space="preserve"> I: Python (lab), 
V. Trebiș, 218/4a
 II: Rețele de calc. (lab), 
E. Cuznețov, 219/4a</v>
      </c>
      <c r="F91" s="13"/>
      <c r="G91" s="14"/>
      <c r="H91" s="12" t="str">
        <f ca="1">IFERROR(__xludf.DUMMYFUNCTION("""COMPUTED_VALUE"""),"Cript. sec.inf. (lab), 
O. Cerbu, 326/4")</f>
        <v>Cript. sec.inf. (lab), 
O. Cerbu, 326/4</v>
      </c>
      <c r="I91" s="13" t="str">
        <f ca="1">IFERROR(__xludf.DUMMYFUNCTION("""COMPUTED_VALUE"""),"Design UI/UX (lab), 
E. Mîndru, 143/4")</f>
        <v>Design UI/UX (lab), 
E. Mîndru, 143/4</v>
      </c>
      <c r="J91" s="13"/>
      <c r="K91" s="14" t="str">
        <f ca="1">IFERROR(__xludf.DUMMYFUNCTION("""COMPUTED_VALUE"""),"Proiect. SI. (lab), 
A. Gladei, 237/4")</f>
        <v>Proiect. SI. (lab), 
A. Gladei, 237/4</v>
      </c>
      <c r="L91" s="12" t="str">
        <f ca="1">IFERROR(__xludf.DUMMYFUNCTION("""COMPUTED_VALUE""")," I: Cloud comp. (lab), 
A. Prepeliță, 251/4
 II: Design soft. (lab), 
G-C. Stănescu, 423/4")</f>
        <v xml:space="preserve"> I: Cloud comp. (lab), 
A. Prepeliță, 251/4
 II: Design soft. (lab), 
G-C. Stănescu, 423/4</v>
      </c>
      <c r="M91" s="14"/>
      <c r="N91" s="12"/>
      <c r="O91" s="14"/>
    </row>
    <row r="92" spans="1:15" ht="66" x14ac:dyDescent="0.25">
      <c r="A92" s="30"/>
      <c r="B92" s="11" t="str">
        <f ca="1">IFERROR(__xludf.DUMMYFUNCTION("""COMPUTED_VALUE"""),"IV
 13:15-14:45")</f>
        <v>IV
 13:15-14:45</v>
      </c>
      <c r="C92" s="12"/>
      <c r="D92" s="13" t="str">
        <f ca="1">IFERROR(__xludf.DUMMYFUNCTION("""COMPUTED_VALUE""")," II: Javascript (lab), 
A. Donu, 145/4")</f>
        <v xml:space="preserve"> II: Javascript (lab), 
A. Donu, 145/4</v>
      </c>
      <c r="E92" s="13"/>
      <c r="F92" s="13"/>
      <c r="G92" s="14" t="str">
        <f ca="1">IFERROR(__xludf.DUMMYFUNCTION("""COMPUTED_VALUE""")," I: Rețele de calc. (lab), 
E. Cuznețov, 219/4a
 II: Python (lab), 
V. Trebiș, 218/4a")</f>
        <v xml:space="preserve"> I: Rețele de calc. (lab), 
E. Cuznețov, 219/4a
 II: Python (lab), 
V. Trebiș, 218/4a</v>
      </c>
      <c r="H92" s="12" t="str">
        <f ca="1">IFERROR(__xludf.DUMMYFUNCTION("""COMPUTED_VALUE"""),"Cript. sec.inf. (lab), 
O. Cerbu, 326/4")</f>
        <v>Cript. sec.inf. (lab), 
O. Cerbu, 326/4</v>
      </c>
      <c r="I92" s="13" t="str">
        <f ca="1">IFERROR(__xludf.DUMMYFUNCTION("""COMPUTED_VALUE"""),"Design UI/UX (lab), 
E. Mîndru, 143/4")</f>
        <v>Design UI/UX (lab), 
E. Mîndru, 143/4</v>
      </c>
      <c r="J92" s="13"/>
      <c r="K92" s="14" t="str">
        <f ca="1">IFERROR(__xludf.DUMMYFUNCTION("""COMPUTED_VALUE"""),"Proiect. SI. (lab), 
A. Gladei, 237/4")</f>
        <v>Proiect. SI. (lab), 
A. Gladei, 237/4</v>
      </c>
      <c r="L92" s="12" t="str">
        <f ca="1">IFERROR(__xludf.DUMMYFUNCTION("""COMPUTED_VALUE""")," I: Design soft. (lab), 
G-C. Stănescu, 423/4
 II: Cloud comp. (lab), 
A. Prepeliță, 251/4")</f>
        <v xml:space="preserve"> I: Design soft. (lab), 
G-C. Stănescu, 423/4
 II: Cloud comp. (lab), 
A. Prepeliță, 251/4</v>
      </c>
      <c r="M92" s="14"/>
      <c r="N92" s="12"/>
      <c r="O92" s="14"/>
    </row>
    <row r="93" spans="1:15" ht="66" x14ac:dyDescent="0.25">
      <c r="A93" s="30"/>
      <c r="B93" s="11" t="str">
        <f ca="1">IFERROR(__xludf.DUMMYFUNCTION("""COMPUTED_VALUE""")," V
15:00-16:30")</f>
        <v xml:space="preserve"> V
15:00-16:30</v>
      </c>
      <c r="C93" s="12"/>
      <c r="D93" s="13" t="str">
        <f ca="1">IFERROR(__xludf.DUMMYFUNCTION("""COMPUTED_VALUE""")," II: Javascript (lab), 
A. Donu, 145/4")</f>
        <v xml:space="preserve"> II: Javascript (lab), 
A. Donu, 145/4</v>
      </c>
      <c r="E93" s="13"/>
      <c r="F93" s="13"/>
      <c r="G93" s="14" t="str">
        <f ca="1">IFERROR(__xludf.DUMMYFUNCTION("""COMPUTED_VALUE""")," I: Rețele de calc. (lab), 
E. Cuznețov, 219/4a
 II: Python (lab), 
V. Trebiș, 218/4a")</f>
        <v xml:space="preserve"> I: Rețele de calc. (lab), 
E. Cuznețov, 219/4a
 II: Python (lab), 
V. Trebiș, 218/4a</v>
      </c>
      <c r="H93" s="12" t="str">
        <f ca="1">IFERROR(__xludf.DUMMYFUNCTION("""COMPUTED_VALUE"""),"Design UI/UX (lab), 
E. Mîndru, 143/4")</f>
        <v>Design UI/UX (lab), 
E. Mîndru, 143/4</v>
      </c>
      <c r="I93" s="13" t="str">
        <f ca="1">IFERROR(__xludf.DUMMYFUNCTION("""COMPUTED_VALUE"""),"Cript. sec.inf. (lab), 
O. Cerbu, 326/4")</f>
        <v>Cript. sec.inf. (lab), 
O. Cerbu, 326/4</v>
      </c>
      <c r="J93" s="13"/>
      <c r="K93" s="14"/>
      <c r="L93" s="12" t="str">
        <f ca="1">IFERROR(__xludf.DUMMYFUNCTION("""COMPUTED_VALUE""")," I: Design soft. (lab), 
G-C. Stănescu, 423/4
 II: Cloud comp. (lab), 
A. Prepeliță, 251/4")</f>
        <v xml:space="preserve"> I: Design soft. (lab), 
G-C. Stănescu, 423/4
 II: Cloud comp. (lab), 
A. Prepeliță, 251/4</v>
      </c>
      <c r="M93" s="14"/>
      <c r="N93" s="12"/>
      <c r="O93" s="14"/>
    </row>
    <row r="94" spans="1:15" ht="27" thickBot="1" x14ac:dyDescent="0.3">
      <c r="A94" s="30"/>
      <c r="B94" s="11" t="str">
        <f ca="1">IFERROR(__xludf.DUMMYFUNCTION("""COMPUTED_VALUE"""),"VI
 16:45-18:15")</f>
        <v>VI
 16:45-18:15</v>
      </c>
      <c r="C94" s="12"/>
      <c r="D94" s="13"/>
      <c r="E94" s="13"/>
      <c r="F94" s="13"/>
      <c r="G94" s="14"/>
      <c r="H94" s="12" t="str">
        <f ca="1">IFERROR(__xludf.DUMMYFUNCTION("""COMPUTED_VALUE"""),"Design UI/UX (lab), 
E. Mîndru, 143/4")</f>
        <v>Design UI/UX (lab), 
E. Mîndru, 143/4</v>
      </c>
      <c r="I94" s="13" t="str">
        <f ca="1">IFERROR(__xludf.DUMMYFUNCTION("""COMPUTED_VALUE"""),"Cript. sec.inf. (lab), 
O. Cerbu, 326/4")</f>
        <v>Cript. sec.inf. (lab), 
O. Cerbu, 326/4</v>
      </c>
      <c r="J94" s="13"/>
      <c r="K94" s="14"/>
      <c r="L94" s="12"/>
      <c r="M94" s="14"/>
      <c r="N94" s="12"/>
      <c r="O94" s="14"/>
    </row>
    <row r="95" spans="1:15" ht="27" thickTop="1" x14ac:dyDescent="0.25">
      <c r="A95" s="29" t="str">
        <f ca="1">IFERROR(__xludf.DUMMYFUNCTION("""COMPUTED_VALUE"""),"Luni,
15.12.2025")</f>
        <v>Luni,
15.12.2025</v>
      </c>
      <c r="B95" s="19" t="str">
        <f ca="1">IFERROR(__xludf.DUMMYFUNCTION("""COMPUTED_VALUE""")," I
15:00-16:30")</f>
        <v xml:space="preserve"> I
15:00-16:30</v>
      </c>
      <c r="C95" s="20"/>
      <c r="D95" s="21" t="str">
        <f ca="1">IFERROR(__xludf.DUMMYFUNCTION("""COMPUTED_VALUE"""),"Javascript (prel), 
A. Donu, 404/4")</f>
        <v>Javascript (prel), 
A. Donu, 404/4</v>
      </c>
      <c r="E95" s="21" t="str">
        <f ca="1">IFERROR(__xludf.DUMMYFUNCTION("""COMPUTED_VALUE"""),"Javascript (prel), 
A. Donu, 404/4")</f>
        <v>Javascript (prel), 
A. Donu, 404/4</v>
      </c>
      <c r="F95" s="21"/>
      <c r="G95" s="22"/>
      <c r="H95" s="20"/>
      <c r="I95" s="21"/>
      <c r="J95" s="21" t="str">
        <f ca="1">IFERROR(__xludf.DUMMYFUNCTION("""COMPUTED_VALUE"""),"Pedagogie (prel), 
V. Clichici, 419/4")</f>
        <v>Pedagogie (prel), 
V. Clichici, 419/4</v>
      </c>
      <c r="K95" s="22" t="str">
        <f ca="1">IFERROR(__xludf.DUMMYFUNCTION("""COMPUTED_VALUE"""),"Politologie (prel), 
 T. Turco, 415/4")</f>
        <v>Politologie (prel), 
 T. Turco, 415/4</v>
      </c>
      <c r="L95" s="20"/>
      <c r="M95" s="22"/>
      <c r="N95" s="20"/>
      <c r="O95" s="22"/>
    </row>
    <row r="96" spans="1:15" ht="26.4" x14ac:dyDescent="0.25">
      <c r="A96" s="30"/>
      <c r="B96" s="11" t="str">
        <f ca="1">IFERROR(__xludf.DUMMYFUNCTION("""COMPUTED_VALUE""")," II
16:45-18:15")</f>
        <v xml:space="preserve"> II
16:45-18:15</v>
      </c>
      <c r="C96" s="12" t="str">
        <f ca="1">IFERROR(__xludf.DUMMYFUNCTION("""COMPUTED_VALUE"""),"Utilizare TI (lab), C. Țurcan, 11/2a")</f>
        <v>Utilizare TI (lab), C. Țurcan, 11/2a</v>
      </c>
      <c r="D96" s="13" t="str">
        <f ca="1">IFERROR(__xludf.DUMMYFUNCTION("""COMPUTED_VALUE"""),"Python (prel), 
V. Trebiș, 404/4")</f>
        <v>Python (prel), 
V. Trebiș, 404/4</v>
      </c>
      <c r="E96" s="13" t="str">
        <f ca="1">IFERROR(__xludf.DUMMYFUNCTION("""COMPUTED_VALUE"""),"Python (prel), 
V. Trebiș, 404/4")</f>
        <v>Python (prel), 
V. Trebiș, 404/4</v>
      </c>
      <c r="F96" s="13" t="str">
        <f ca="1">IFERROR(__xludf.DUMMYFUNCTION("""COMPUTED_VALUE"""),"Psih. (sem), V. Miron, 415/4")</f>
        <v>Psih. (sem), V. Miron, 415/4</v>
      </c>
      <c r="G96" s="14" t="str">
        <f ca="1">IFERROR(__xludf.DUMMYFUNCTION("""COMPUTED_VALUE"""),"POO (prel), 
Gh. Latul, 214/4")</f>
        <v>POO (prel), 
Gh. Latul, 214/4</v>
      </c>
      <c r="H96" s="12" t="str">
        <f ca="1">IFERROR(__xludf.DUMMYFUNCTION("""COMPUTED_VALUE"""),"Cript. sec.inf. (prel), 
O. Cerbu, 401/4")</f>
        <v>Cript. sec.inf. (prel), 
O. Cerbu, 401/4</v>
      </c>
      <c r="I96" s="13" t="str">
        <f ca="1">IFERROR(__xludf.DUMMYFUNCTION("""COMPUTED_VALUE"""),"Cript. sec.inf. (prel), 
O. Cerbu, 401/4")</f>
        <v>Cript. sec.inf. (prel), 
O. Cerbu, 401/4</v>
      </c>
      <c r="J96" s="13" t="str">
        <f ca="1">IFERROR(__xludf.DUMMYFUNCTION("""COMPUTED_VALUE"""),"Pedagogie (prel), 
V. Clichici, 419/4")</f>
        <v>Pedagogie (prel), 
V. Clichici, 419/4</v>
      </c>
      <c r="K96" s="14" t="str">
        <f ca="1">IFERROR(__xludf.DUMMYFUNCTION("""COMPUTED_VALUE"""),"GA 2D (lab), 
T. Iațîșina, 350/4")</f>
        <v>GA 2D (lab), 
T. Iațîșina, 350/4</v>
      </c>
      <c r="L96" s="12"/>
      <c r="M96" s="14" t="str">
        <f ca="1">IFERROR(__xludf.DUMMYFUNCTION("""COMPUTED_VALUE"""),"IA (prel), 
T. Bumbu, 251/4")</f>
        <v>IA (prel), 
T. Bumbu, 251/4</v>
      </c>
      <c r="N96" s="12" t="str">
        <f ca="1">IFERROR(__xludf.DUMMYFUNCTION("""COMPUTED_VALUE"""),"Dezv. int. ad. (lab),
M. Butnaru, 423/4")</f>
        <v>Dezv. int. ad. (lab),
M. Butnaru, 423/4</v>
      </c>
      <c r="O96" s="14"/>
    </row>
    <row r="97" spans="1:15" ht="26.4" x14ac:dyDescent="0.25">
      <c r="A97" s="31"/>
      <c r="B97" s="15" t="str">
        <f ca="1">IFERROR(__xludf.DUMMYFUNCTION("""COMPUTED_VALUE"""),"III
18:30-20:00")</f>
        <v>III
18:30-20:00</v>
      </c>
      <c r="C97" s="16" t="str">
        <f ca="1">IFERROR(__xludf.DUMMYFUNCTION("""COMPUTED_VALUE"""),"Utilizare TI (lab), C. Țurcan, 11/2a")</f>
        <v>Utilizare TI (lab), C. Țurcan, 11/2a</v>
      </c>
      <c r="D97" s="17" t="str">
        <f ca="1">IFERROR(__xludf.DUMMYFUNCTION("""COMPUTED_VALUE"""),"Python (prel), 
V. Trebiș, 404/4")</f>
        <v>Python (prel), 
V. Trebiș, 404/4</v>
      </c>
      <c r="E97" s="17" t="str">
        <f ca="1">IFERROR(__xludf.DUMMYFUNCTION("""COMPUTED_VALUE"""),"Python (prel), 
V. Trebiș, 404/4")</f>
        <v>Python (prel), 
V. Trebiș, 404/4</v>
      </c>
      <c r="F97" s="17" t="str">
        <f ca="1">IFERROR(__xludf.DUMMYFUNCTION("""COMPUTED_VALUE"""),"Psih. (sem), V. Miron, 415/4")</f>
        <v>Psih. (sem), V. Miron, 415/4</v>
      </c>
      <c r="G97" s="18" t="str">
        <f ca="1">IFERROR(__xludf.DUMMYFUNCTION("""COMPUTED_VALUE"""),"Javascript (prel), 
N. Nartea, 214/4")</f>
        <v>Javascript (prel), 
N. Nartea, 214/4</v>
      </c>
      <c r="H97" s="16" t="str">
        <f ca="1">IFERROR(__xludf.DUMMYFUNCTION("""COMPUTED_VALUE"""),"Cript. sec.inf. (prel), 
O. Cerbu, 401/4")</f>
        <v>Cript. sec.inf. (prel), 
O. Cerbu, 401/4</v>
      </c>
      <c r="I97" s="17" t="str">
        <f ca="1">IFERROR(__xludf.DUMMYFUNCTION("""COMPUTED_VALUE"""),"Cript. sec.inf. (prel), 
O. Cerbu, 401/4")</f>
        <v>Cript. sec.inf. (prel), 
O. Cerbu, 401/4</v>
      </c>
      <c r="J97" s="17"/>
      <c r="K97" s="18" t="str">
        <f ca="1">IFERROR(__xludf.DUMMYFUNCTION("""COMPUTED_VALUE"""),"GA 2D (lab), 
T. Iațîșina, 350/4")</f>
        <v>GA 2D (lab), 
T. Iațîșina, 350/4</v>
      </c>
      <c r="L97" s="16"/>
      <c r="M97" s="18" t="str">
        <f ca="1">IFERROR(__xludf.DUMMYFUNCTION("""COMPUTED_VALUE"""),"IA (lab), 
T. Bumbu, 251/4")</f>
        <v>IA (lab), 
T. Bumbu, 251/4</v>
      </c>
      <c r="N97" s="16" t="str">
        <f ca="1">IFERROR(__xludf.DUMMYFUNCTION("""COMPUTED_VALUE"""),"Dezv. int. ad. (lab),
M. Butnaru, 423/4")</f>
        <v>Dezv. int. ad. (lab),
M. Butnaru, 423/4</v>
      </c>
      <c r="O97" s="18"/>
    </row>
    <row r="98" spans="1:15" ht="39.6" x14ac:dyDescent="0.25">
      <c r="A98" s="29" t="str">
        <f ca="1">IFERROR(__xludf.DUMMYFUNCTION("""COMPUTED_VALUE"""),"Marți,
16.12.2025")</f>
        <v>Marți,
16.12.2025</v>
      </c>
      <c r="B98" s="19" t="str">
        <f ca="1">IFERROR(__xludf.DUMMYFUNCTION("""COMPUTED_VALUE""")," I
15:00-16:30")</f>
        <v xml:space="preserve"> I
15:00-16:30</v>
      </c>
      <c r="C98" s="20"/>
      <c r="D98" s="21" t="str">
        <f ca="1">IFERROR(__xludf.DUMMYFUNCTION("""COMPUTED_VALUE""")," II: POO (lab), 
A. Arnaut, 145/4")</f>
        <v xml:space="preserve"> II: POO (lab), 
A. Arnaut, 145/4</v>
      </c>
      <c r="E98" s="21" t="str">
        <f ca="1">IFERROR(__xludf.DUMMYFUNCTION("""COMPUTED_VALUE""")," I: Python (lab), 
V. Trebiș, 237/4")</f>
        <v xml:space="preserve"> I: Python (lab), 
V. Trebiș, 237/4</v>
      </c>
      <c r="F98" s="21"/>
      <c r="G98" s="22" t="str">
        <f ca="1">IFERROR(__xludf.DUMMYFUNCTION("""COMPUTED_VALUE""")," I: Rețele de calc. (lab), 
E. Cuznețov, 143/4")</f>
        <v xml:space="preserve"> I: Rețele de calc. (lab), 
E. Cuznețov, 143/4</v>
      </c>
      <c r="H98" s="20"/>
      <c r="I98" s="21"/>
      <c r="J98" s="21"/>
      <c r="K98" s="22" t="str">
        <f ca="1">IFERROR(__xludf.DUMMYFUNCTION("""COMPUTED_VALUE"""),"Politologie (prel), 
 T. Turco, 415/4")</f>
        <v>Politologie (prel), 
 T. Turco, 415/4</v>
      </c>
      <c r="L98" s="20" t="str">
        <f ca="1">IFERROR(__xludf.DUMMYFUNCTION("""COMPUTED_VALUE""")," II: IA (lab), 
T. Bumbu, 251/4")</f>
        <v xml:space="preserve"> II: IA (lab), 
T. Bumbu, 251/4</v>
      </c>
      <c r="M98" s="22"/>
      <c r="N98" s="20"/>
      <c r="O98" s="22"/>
    </row>
    <row r="99" spans="1:15" ht="39.6" x14ac:dyDescent="0.25">
      <c r="A99" s="30"/>
      <c r="B99" s="11" t="str">
        <f ca="1">IFERROR(__xludf.DUMMYFUNCTION("""COMPUTED_VALUE"""),"II
16:45-18:15")</f>
        <v>II
16:45-18:15</v>
      </c>
      <c r="C99" s="12" t="str">
        <f ca="1">IFERROR(__xludf.DUMMYFUNCTION("""COMPUTED_VALUE"""),"Topol. teor. mas. (prel), P. Efros, 415/4")</f>
        <v>Topol. teor. mas. (prel), P. Efros, 415/4</v>
      </c>
      <c r="D99" s="13" t="str">
        <f ca="1">IFERROR(__xludf.DUMMYFUNCTION("""COMPUTED_VALUE""")," II: Rețele de calc. (lab), 
E. Cuznețov, 143/4")</f>
        <v xml:space="preserve"> II: Rețele de calc. (lab), 
E. Cuznețov, 143/4</v>
      </c>
      <c r="E99" s="13" t="str">
        <f ca="1">IFERROR(__xludf.DUMMYFUNCTION("""COMPUTED_VALUE""")," I: POO (lab), 
A. Arnaut, 145/4")</f>
        <v xml:space="preserve"> I: POO (lab), 
A. Arnaut, 145/4</v>
      </c>
      <c r="F99" s="13" t="str">
        <f ca="1">IFERROR(__xludf.DUMMYFUNCTION("""COMPUTED_VALUE"""),"Psih. (sem), V. Miron, 419/4")</f>
        <v>Psih. (sem), V. Miron, 419/4</v>
      </c>
      <c r="G99" s="14" t="str">
        <f ca="1">IFERROR(__xludf.DUMMYFUNCTION("""COMPUTED_VALUE"""),"Python (prel), 
V. Trebiș, 401/4")</f>
        <v>Python (prel), 
V. Trebiș, 401/4</v>
      </c>
      <c r="H99" s="12" t="str">
        <f ca="1">IFERROR(__xludf.DUMMYFUNCTION("""COMPUTED_VALUE"""),"Politologie (prel), R.Svetlicinii, 317/4")</f>
        <v>Politologie (prel), R.Svetlicinii, 317/4</v>
      </c>
      <c r="I99" s="13" t="str">
        <f ca="1">IFERROR(__xludf.DUMMYFUNCTION("""COMPUTED_VALUE"""),"Politologie (prel), R.Svetlicinii, 317/4")</f>
        <v>Politologie (prel), R.Svetlicinii, 317/4</v>
      </c>
      <c r="J99" s="13" t="str">
        <f ca="1">IFERROR(__xludf.DUMMYFUNCTION("""COMPUTED_VALUE"""),"Politologie (prel), R.Svetlicinii, 317/4")</f>
        <v>Politologie (prel), R.Svetlicinii, 317/4</v>
      </c>
      <c r="K99" s="14" t="str">
        <f ca="1">IFERROR(__xludf.DUMMYFUNCTION("""COMPUTED_VALUE"""),"Cript. sec.inf. (prel), 
O. Cerbu, 214/4")</f>
        <v>Cript. sec.inf. (prel), 
O. Cerbu, 214/4</v>
      </c>
      <c r="L99" s="12" t="str">
        <f ca="1">IFERROR(__xludf.DUMMYFUNCTION("""COMPUTED_VALUE"""),"IA (prel), 
T. Bumbu, 404/4")</f>
        <v>IA (prel), 
T. Bumbu, 404/4</v>
      </c>
      <c r="M99" s="14" t="str">
        <f ca="1">IFERROR(__xludf.DUMMYFUNCTION("""COMPUTED_VALUE"""),"Design soft. (lab), 
A. Curmanschii, 237/4")</f>
        <v>Design soft. (lab), 
A. Curmanschii, 237/4</v>
      </c>
      <c r="N99" s="12"/>
      <c r="O99" s="14" t="str">
        <f ca="1">IFERROR(__xludf.DUMMYFUNCTION("""COMPUTED_VALUE"""),"Dezv. int. ad. (lab),
M. Butnaru, 423/4")</f>
        <v>Dezv. int. ad. (lab),
M. Butnaru, 423/4</v>
      </c>
    </row>
    <row r="100" spans="1:15" ht="39.6" x14ac:dyDescent="0.25">
      <c r="A100" s="31"/>
      <c r="B100" s="15" t="str">
        <f ca="1">IFERROR(__xludf.DUMMYFUNCTION("""COMPUTED_VALUE""")," III
18:30-20:00")</f>
        <v xml:space="preserve"> III
18:30-20:00</v>
      </c>
      <c r="C100" s="16" t="str">
        <f ca="1">IFERROR(__xludf.DUMMYFUNCTION("""COMPUTED_VALUE"""),"Topol. teor. mas. (sem), P. Efros, 415/4")</f>
        <v>Topol. teor. mas. (sem), P. Efros, 415/4</v>
      </c>
      <c r="D100" s="17" t="str">
        <f ca="1">IFERROR(__xludf.DUMMYFUNCTION("""COMPUTED_VALUE""")," II: Rețele de calc. (lab), 
E. Cuznețov, 143/4")</f>
        <v xml:space="preserve"> II: Rețele de calc. (lab), 
E. Cuznețov, 143/4</v>
      </c>
      <c r="E100" s="17" t="str">
        <f ca="1">IFERROR(__xludf.DUMMYFUNCTION("""COMPUTED_VALUE""")," I: POO (lab), 
A. Arnaut, 145/4")</f>
        <v xml:space="preserve"> I: POO (lab), 
A. Arnaut, 145/4</v>
      </c>
      <c r="F100" s="17" t="str">
        <f ca="1">IFERROR(__xludf.DUMMYFUNCTION("""COMPUTED_VALUE"""),"Psih. v. (prel), V. Miron, 419/4")</f>
        <v>Psih. v. (prel), V. Miron, 419/4</v>
      </c>
      <c r="G100" s="18" t="str">
        <f ca="1">IFERROR(__xludf.DUMMYFUNCTION("""COMPUTED_VALUE"""),"Python (prel), 
V. Trebiș, 401/4")</f>
        <v>Python (prel), 
V. Trebiș, 401/4</v>
      </c>
      <c r="H100" s="16" t="str">
        <f ca="1">IFERROR(__xludf.DUMMYFUNCTION("""COMPUTED_VALUE"""),"Politologie (prel), R.Svetlicinii, 317/4")</f>
        <v>Politologie (prel), R.Svetlicinii, 317/4</v>
      </c>
      <c r="I100" s="17" t="str">
        <f ca="1">IFERROR(__xludf.DUMMYFUNCTION("""COMPUTED_VALUE"""),"Politologie (prel), R.Svetlicinii, 317/4")</f>
        <v>Politologie (prel), R.Svetlicinii, 317/4</v>
      </c>
      <c r="J100" s="17" t="str">
        <f ca="1">IFERROR(__xludf.DUMMYFUNCTION("""COMPUTED_VALUE"""),"Politologie (prel), R.Svetlicinii, 317/4")</f>
        <v>Politologie (prel), R.Svetlicinii, 317/4</v>
      </c>
      <c r="K100" s="18" t="str">
        <f ca="1">IFERROR(__xludf.DUMMYFUNCTION("""COMPUTED_VALUE"""),"Cript. sec.inf. (prel), 
O. Cerbu, 214/4")</f>
        <v>Cript. sec.inf. (prel), 
O. Cerbu, 214/4</v>
      </c>
      <c r="L100" s="16" t="str">
        <f ca="1">IFERROR(__xludf.DUMMYFUNCTION("""COMPUTED_VALUE""")," I: IA (lab), 
T. Bumbu, 404/4")</f>
        <v xml:space="preserve"> I: IA (lab), 
T. Bumbu, 404/4</v>
      </c>
      <c r="M100" s="18" t="str">
        <f ca="1">IFERROR(__xludf.DUMMYFUNCTION("""COMPUTED_VALUE"""),"Design soft. (lab), 
A. Curmanschii, 237/4")</f>
        <v>Design soft. (lab), 
A. Curmanschii, 237/4</v>
      </c>
      <c r="N100" s="16"/>
      <c r="O100" s="18" t="str">
        <f ca="1">IFERROR(__xludf.DUMMYFUNCTION("""COMPUTED_VALUE"""),"Dezv. int. ad. (lab),
M. Butnaru, 423/4")</f>
        <v>Dezv. int. ad. (lab),
M. Butnaru, 423/4</v>
      </c>
    </row>
    <row r="101" spans="1:15" ht="26.4" x14ac:dyDescent="0.25">
      <c r="A101" s="29" t="str">
        <f ca="1">IFERROR(__xludf.DUMMYFUNCTION("""COMPUTED_VALUE"""),"Miercuri,
17.12.2025")</f>
        <v>Miercuri,
17.12.2025</v>
      </c>
      <c r="B101" s="19" t="str">
        <f ca="1">IFERROR(__xludf.DUMMYFUNCTION("""COMPUTED_VALUE""")," I
15:00-16:30")</f>
        <v xml:space="preserve"> I
15:00-16:30</v>
      </c>
      <c r="C101" s="20"/>
      <c r="D101" s="21"/>
      <c r="E101" s="21"/>
      <c r="F101" s="21"/>
      <c r="G101" s="22" t="str">
        <f ca="1">IFERROR(__xludf.DUMMYFUNCTION("""COMPUTED_VALUE""")," II: Python (lab), 
V. Trebiș, 143/4")</f>
        <v xml:space="preserve"> II: Python (lab), 
V. Trebiș, 143/4</v>
      </c>
      <c r="H101" s="20"/>
      <c r="I101" s="21"/>
      <c r="J101" s="21"/>
      <c r="K101" s="22"/>
      <c r="L101" s="20"/>
      <c r="M101" s="22"/>
      <c r="N101" s="20"/>
      <c r="O101" s="22"/>
    </row>
    <row r="102" spans="1:15" ht="39.6" x14ac:dyDescent="0.25">
      <c r="A102" s="30"/>
      <c r="B102" s="11" t="str">
        <f ca="1">IFERROR(__xludf.DUMMYFUNCTION("""COMPUTED_VALUE""")," II
16:45-18:15")</f>
        <v xml:space="preserve"> II
16:45-18:15</v>
      </c>
      <c r="C102" s="12" t="str">
        <f ca="1">IFERROR(__xludf.DUMMYFUNCTION("""COMPUTED_VALUE"""),"Alg. graf. (lab), A. Niculiță, 237/4")</f>
        <v>Alg. graf. (lab), A. Niculiță, 237/4</v>
      </c>
      <c r="D102" s="13" t="str">
        <f ca="1">IFERROR(__xludf.DUMMYFUNCTION("""COMPUTED_VALUE""")," II: Python (lab), 
V. Trebiș, 143/4")</f>
        <v xml:space="preserve"> II: Python (lab), 
V. Trebiș, 143/4</v>
      </c>
      <c r="E102" s="13"/>
      <c r="F102" s="13"/>
      <c r="G102" s="14" t="str">
        <f ca="1">IFERROR(__xludf.DUMMYFUNCTION("""COMPUTED_VALUE""")," II: Rețele de calc. (lab), 
E. Cuznețov, 251/4")</f>
        <v xml:space="preserve"> II: Rețele de calc. (lab), 
E. Cuznețov, 251/4</v>
      </c>
      <c r="H102" s="12" t="str">
        <f ca="1">IFERROR(__xludf.DUMMYFUNCTION("""COMPUTED_VALUE"""),"GA 2D (prel), 
A. Șchiopu, 404/4")</f>
        <v>GA 2D (prel), 
A. Șchiopu, 404/4</v>
      </c>
      <c r="I102" s="13" t="str">
        <f ca="1">IFERROR(__xludf.DUMMYFUNCTION("""COMPUTED_VALUE"""),"GA 2D (prel), 
A. Șchiopu, 404/4")</f>
        <v>GA 2D (prel), 
A. Șchiopu, 404/4</v>
      </c>
      <c r="J102" s="13"/>
      <c r="K102" s="14" t="str">
        <f ca="1">IFERROR(__xludf.DUMMYFUNCTION("""COMPUTED_VALUE"""),"Alg. str. date (prel), 
S. Corlat, 213a/4")</f>
        <v>Alg. str. date (prel), 
S. Corlat, 213a/4</v>
      </c>
      <c r="L102" s="12"/>
      <c r="M102" s="14" t="str">
        <f ca="1">IFERROR(__xludf.DUMMYFUNCTION("""COMPUTED_VALUE"""),"Cloud comp. (lab), 
N. Nartea, 350/4")</f>
        <v>Cloud comp. (lab), 
N. Nartea, 350/4</v>
      </c>
      <c r="N102" s="12"/>
      <c r="O102" s="14" t="str">
        <f ca="1">IFERROR(__xludf.DUMMYFUNCTION("""COMPUTED_VALUE"""),"Aspecte etice (sem), 
M. Marin, 219/4a")</f>
        <v>Aspecte etice (sem), 
M. Marin, 219/4a</v>
      </c>
    </row>
    <row r="103" spans="1:15" ht="39.6" x14ac:dyDescent="0.25">
      <c r="A103" s="31"/>
      <c r="B103" s="15" t="str">
        <f ca="1">IFERROR(__xludf.DUMMYFUNCTION("""COMPUTED_VALUE"""),"III
 18:30-20:00")</f>
        <v>III
 18:30-20:00</v>
      </c>
      <c r="C103" s="16" t="str">
        <f ca="1">IFERROR(__xludf.DUMMYFUNCTION("""COMPUTED_VALUE"""),"Alg. graf. (lab), A. Niculiță, 237/4")</f>
        <v>Alg. graf. (lab), A. Niculiță, 237/4</v>
      </c>
      <c r="D103" s="17" t="str">
        <f ca="1">IFERROR(__xludf.DUMMYFUNCTION("""COMPUTED_VALUE""")," II: Python (lab), 
V. Trebiș, 143/4")</f>
        <v xml:space="preserve"> II: Python (lab), 
V. Trebiș, 143/4</v>
      </c>
      <c r="E103" s="17"/>
      <c r="F103" s="17"/>
      <c r="G103" s="18" t="str">
        <f ca="1">IFERROR(__xludf.DUMMYFUNCTION("""COMPUTED_VALUE""")," II: Rețele de calc. (lab), 
E. Cuznețov, 251/4")</f>
        <v xml:space="preserve"> II: Rețele de calc. (lab), 
E. Cuznețov, 251/4</v>
      </c>
      <c r="H103" s="16" t="str">
        <f ca="1">IFERROR(__xludf.DUMMYFUNCTION("""COMPUTED_VALUE"""),"GA 2D (prel), 
A. Șchiopu, 404/4")</f>
        <v>GA 2D (prel), 
A. Șchiopu, 404/4</v>
      </c>
      <c r="I103" s="17" t="str">
        <f ca="1">IFERROR(__xludf.DUMMYFUNCTION("""COMPUTED_VALUE"""),"GA 2D (prel), 
A. Șchiopu, 404/4")</f>
        <v>GA 2D (prel), 
A. Șchiopu, 404/4</v>
      </c>
      <c r="J103" s="17"/>
      <c r="K103" s="18" t="str">
        <f ca="1">IFERROR(__xludf.DUMMYFUNCTION("""COMPUTED_VALUE"""),"Proiect. SI. (prel), 
A. Gladei, 213a/4")</f>
        <v>Proiect. SI. (prel), 
A. Gladei, 213a/4</v>
      </c>
      <c r="L103" s="16" t="str">
        <f ca="1">IFERROR(__xludf.DUMMYFUNCTION("""COMPUTED_VALUE"""),"Spring (prel), 
M. Dodi, 401/4")</f>
        <v>Spring (prel), 
M. Dodi, 401/4</v>
      </c>
      <c r="M103" s="18" t="str">
        <f ca="1">IFERROR(__xludf.DUMMYFUNCTION("""COMPUTED_VALUE"""),"Cloud comp. (lab), 
N. Nartea, 350/4")</f>
        <v>Cloud comp. (lab), 
N. Nartea, 350/4</v>
      </c>
      <c r="N103" s="16" t="str">
        <f ca="1">IFERROR(__xludf.DUMMYFUNCTION("""COMPUTED_VALUE"""),"Aspecte etice (sem), 
M. Marin, 219/4a")</f>
        <v>Aspecte etice (sem), 
M. Marin, 219/4a</v>
      </c>
      <c r="O103" s="18"/>
    </row>
    <row r="104" spans="1:15" ht="13.2" x14ac:dyDescent="0.25">
      <c r="A104" s="29" t="str">
        <f ca="1">IFERROR(__xludf.DUMMYFUNCTION("""COMPUTED_VALUE"""),"Joi,
18.12.2025")</f>
        <v>Joi,
18.12.2025</v>
      </c>
      <c r="B104" s="19" t="str">
        <f ca="1">IFERROR(__xludf.DUMMYFUNCTION("""COMPUTED_VALUE"""),"13:15-14:45")</f>
        <v>13:15-14:45</v>
      </c>
      <c r="C104" s="20"/>
      <c r="D104" s="21"/>
      <c r="E104" s="21"/>
      <c r="F104" s="21"/>
      <c r="G104" s="22"/>
      <c r="H104" s="20"/>
      <c r="I104" s="21"/>
      <c r="J104" s="21"/>
      <c r="K104" s="22"/>
      <c r="L104" s="20"/>
      <c r="M104" s="22"/>
      <c r="N104" s="20"/>
      <c r="O104" s="22"/>
    </row>
    <row r="105" spans="1:15" ht="39.6" x14ac:dyDescent="0.25">
      <c r="A105" s="30"/>
      <c r="B105" s="11" t="str">
        <f ca="1">IFERROR(__xludf.DUMMYFUNCTION("""COMPUTED_VALUE""")," I
15:00-16:30")</f>
        <v xml:space="preserve"> I
15:00-16:30</v>
      </c>
      <c r="C105" s="12"/>
      <c r="D105" s="13" t="str">
        <f ca="1">IFERROR(__xludf.DUMMYFUNCTION("""COMPUTED_VALUE"""),"POO (prel), 
A. Arnaut, 213a/4")</f>
        <v>POO (prel), 
A. Arnaut, 213a/4</v>
      </c>
      <c r="E105" s="13" t="str">
        <f ca="1">IFERROR(__xludf.DUMMYFUNCTION("""COMPUTED_VALUE"""),"POO (prel), 
A. Arnaut, 213a/4")</f>
        <v>POO (prel), 
A. Arnaut, 213a/4</v>
      </c>
      <c r="F105" s="13" t="str">
        <f ca="1">IFERROR(__xludf.DUMMYFUNCTION("""COMPUTED_VALUE"""),"POO (prel), 
A. Arnaut, 213a/4")</f>
        <v>POO (prel), 
A. Arnaut, 213a/4</v>
      </c>
      <c r="G105" s="14" t="str">
        <f ca="1">IFERROR(__xludf.DUMMYFUNCTION("""COMPUTED_VALUE""")," II: Rețele de calc. (lab), 
E. Cuznețov, 143/4")</f>
        <v xml:space="preserve"> II: Rețele de calc. (lab), 
E. Cuznețov, 143/4</v>
      </c>
      <c r="H105" s="12"/>
      <c r="I105" s="13"/>
      <c r="J105" s="13"/>
      <c r="K105" s="14"/>
      <c r="L105" s="12"/>
      <c r="M105" s="14"/>
      <c r="N105" s="12"/>
      <c r="O105" s="14"/>
    </row>
    <row r="106" spans="1:15" ht="26.4" x14ac:dyDescent="0.25">
      <c r="A106" s="30"/>
      <c r="B106" s="11" t="str">
        <f ca="1">IFERROR(__xludf.DUMMYFUNCTION("""COMPUTED_VALUE"""),"II
 16:45-18:15")</f>
        <v>II
 16:45-18:15</v>
      </c>
      <c r="C106" s="12" t="str">
        <f ca="1">IFERROR(__xludf.DUMMYFUNCTION("""COMPUTED_VALUE"""),"Python (prel), B. Hâncu, 239/4")</f>
        <v>Python (prel), B. Hâncu, 239/4</v>
      </c>
      <c r="D106" s="13" t="str">
        <f ca="1">IFERROR(__xludf.DUMMYFUNCTION("""COMPUTED_VALUE"""),"Rețele de calc. (prel), 
E. Cuznețov, 213a/4")</f>
        <v>Rețele de calc. (prel), 
E. Cuznețov, 213a/4</v>
      </c>
      <c r="E106" s="13" t="str">
        <f ca="1">IFERROR(__xludf.DUMMYFUNCTION("""COMPUTED_VALUE"""),"Rețele de calc. (prel), 
E. Cuznețov, 213a/4")</f>
        <v>Rețele de calc. (prel), 
E. Cuznețov, 213a/4</v>
      </c>
      <c r="F106" s="13" t="str">
        <f ca="1">IFERROR(__xludf.DUMMYFUNCTION("""COMPUTED_VALUE"""),"Rețele de calc. (prel), 
E. Cuznețov, 213a/4")</f>
        <v>Rețele de calc. (prel), 
E. Cuznețov, 213a/4</v>
      </c>
      <c r="G106" s="14" t="str">
        <f ca="1">IFERROR(__xludf.DUMMYFUNCTION("""COMPUTED_VALUE""")," I: Python (lab), 
V. Trebiș, 143/4")</f>
        <v xml:space="preserve"> I: Python (lab), 
V. Trebiș, 143/4</v>
      </c>
      <c r="H106" s="12" t="str">
        <f ca="1">IFERROR(__xludf.DUMMYFUNCTION("""COMPUTED_VALUE"""),"Alg. str. date (prel), 
S. Corlat, 404/4")</f>
        <v>Alg. str. date (prel), 
S. Corlat, 404/4</v>
      </c>
      <c r="I106" s="13" t="str">
        <f ca="1">IFERROR(__xludf.DUMMYFUNCTION("""COMPUTED_VALUE"""),"Alg. str. date (prel), 
S. Corlat, 404/4")</f>
        <v>Alg. str. date (prel), 
S. Corlat, 404/4</v>
      </c>
      <c r="J106" s="13" t="str">
        <f ca="1">IFERROR(__xludf.DUMMYFUNCTION("""COMPUTED_VALUE"""),"Alg. str. date (prel), 
S. Corlat, 404/4")</f>
        <v>Alg. str. date (prel), 
S. Corlat, 404/4</v>
      </c>
      <c r="K106" s="14" t="str">
        <f ca="1">IFERROR(__xludf.DUMMYFUNCTION("""COMPUTED_VALUE"""),"GA 2D (prel), 
T. Iațîșina, 145/4")</f>
        <v>GA 2D (prel), 
T. Iațîșina, 145/4</v>
      </c>
      <c r="L106" s="12"/>
      <c r="M106" s="14"/>
      <c r="N106" s="12" t="str">
        <f ca="1">IFERROR(__xludf.DUMMYFUNCTION("""COMPUTED_VALUE"""),"Admin. sec. RC (lab),
O. Cerbu, 251/4")</f>
        <v>Admin. sec. RC (lab),
O. Cerbu, 251/4</v>
      </c>
      <c r="O106" s="14"/>
    </row>
    <row r="107" spans="1:15" ht="26.4" x14ac:dyDescent="0.25">
      <c r="A107" s="31"/>
      <c r="B107" s="15" t="str">
        <f ca="1">IFERROR(__xludf.DUMMYFUNCTION("""COMPUTED_VALUE"""),"III
 18:30-20:00")</f>
        <v>III
 18:30-20:00</v>
      </c>
      <c r="C107" s="16" t="str">
        <f ca="1">IFERROR(__xludf.DUMMYFUNCTION("""COMPUTED_VALUE"""),"Python (lab), B. Hâncu, 239/4")</f>
        <v>Python (lab), B. Hâncu, 239/4</v>
      </c>
      <c r="D107" s="17" t="str">
        <f ca="1">IFERROR(__xludf.DUMMYFUNCTION("""COMPUTED_VALUE"""),"Rețele de calc. (prel), 
E. Cuznețov, 213a/4")</f>
        <v>Rețele de calc. (prel), 
E. Cuznețov, 213a/4</v>
      </c>
      <c r="E107" s="17" t="str">
        <f ca="1">IFERROR(__xludf.DUMMYFUNCTION("""COMPUTED_VALUE"""),"Rețele de calc. (prel), 
E. Cuznețov, 213a/4")</f>
        <v>Rețele de calc. (prel), 
E. Cuznețov, 213a/4</v>
      </c>
      <c r="F107" s="17" t="str">
        <f ca="1">IFERROR(__xludf.DUMMYFUNCTION("""COMPUTED_VALUE"""),"Rețele de calc. (prel), 
E. Cuznețov, 213a/4")</f>
        <v>Rețele de calc. (prel), 
E. Cuznețov, 213a/4</v>
      </c>
      <c r="G107" s="18" t="str">
        <f ca="1">IFERROR(__xludf.DUMMYFUNCTION("""COMPUTED_VALUE""")," I: Python (lab), 
V. Trebiș, 143/4")</f>
        <v xml:space="preserve"> I: Python (lab), 
V. Trebiș, 143/4</v>
      </c>
      <c r="H107" s="16" t="str">
        <f ca="1">IFERROR(__xludf.DUMMYFUNCTION("""COMPUTED_VALUE"""),"Proiect. SI. (prel), 
A. Gladei, 404/4")</f>
        <v>Proiect. SI. (prel), 
A. Gladei, 404/4</v>
      </c>
      <c r="I107" s="17" t="str">
        <f ca="1">IFERROR(__xludf.DUMMYFUNCTION("""COMPUTED_VALUE"""),"Proiect. SI. (prel), 
A. Gladei, 404/4")</f>
        <v>Proiect. SI. (prel), 
A. Gladei, 404/4</v>
      </c>
      <c r="J107" s="17" t="str">
        <f ca="1">IFERROR(__xludf.DUMMYFUNCTION("""COMPUTED_VALUE"""),"Proiect. SI. (prel), 
A. Gladei, 404/4")</f>
        <v>Proiect. SI. (prel), 
A. Gladei, 404/4</v>
      </c>
      <c r="K107" s="18" t="str">
        <f ca="1">IFERROR(__xludf.DUMMYFUNCTION("""COMPUTED_VALUE"""),"GA 2D (prel), 
T. Iațîșina, 145/4")</f>
        <v>GA 2D (prel), 
T. Iațîșina, 145/4</v>
      </c>
      <c r="L107" s="16"/>
      <c r="M107" s="18"/>
      <c r="N107" s="16" t="str">
        <f ca="1">IFERROR(__xludf.DUMMYFUNCTION("""COMPUTED_VALUE"""),"Admin. sec. RC (lab),
O. Cerbu, 251/4")</f>
        <v>Admin. sec. RC (lab),
O. Cerbu, 251/4</v>
      </c>
      <c r="O107" s="18"/>
    </row>
    <row r="108" spans="1:15" ht="66" x14ac:dyDescent="0.25">
      <c r="A108" s="29" t="str">
        <f ca="1">IFERROR(__xludf.DUMMYFUNCTION("""COMPUTED_VALUE"""),"Vineri,
19.12.2025")</f>
        <v>Vineri,
19.12.2025</v>
      </c>
      <c r="B108" s="19" t="str">
        <f ca="1">IFERROR(__xludf.DUMMYFUNCTION("""COMPUTED_VALUE""")," I
15:00-16:30")</f>
        <v xml:space="preserve"> I
15:00-16:30</v>
      </c>
      <c r="C108" s="20"/>
      <c r="D108" s="21" t="str">
        <f ca="1">IFERROR(__xludf.DUMMYFUNCTION("""COMPUTED_VALUE""")," I: Rețele de calc. (lab), 
E. Cuznețov, 145/4
 II: Javascript (lab), 
A. Donu, 143/4")</f>
        <v xml:space="preserve"> I: Rețele de calc. (lab), 
E. Cuznețov, 145/4
 II: Javascript (lab), 
A. Donu, 143/4</v>
      </c>
      <c r="E108" s="21" t="str">
        <f ca="1">IFERROR(__xludf.DUMMYFUNCTION("""COMPUTED_VALUE""")," II: POO (lab), 
A. Arnaut, 145a/4")</f>
        <v xml:space="preserve"> II: POO (lab), 
A. Arnaut, 145a/4</v>
      </c>
      <c r="F108" s="21"/>
      <c r="G108" s="22" t="str">
        <f ca="1">IFERROR(__xludf.DUMMYFUNCTION("""COMPUTED_VALUE""")," II: Python (lab), 
V. Trebiș, 251/4")</f>
        <v xml:space="preserve"> II: Python (lab), 
V. Trebiș, 251/4</v>
      </c>
      <c r="H108" s="20"/>
      <c r="I108" s="21" t="str">
        <f ca="1">IFERROR(__xludf.DUMMYFUNCTION("""COMPUTED_VALUE"""),"Alg. str. date (lab), 
O. Cerbu, 216a/4a")</f>
        <v>Alg. str. date (lab), 
O. Cerbu, 216a/4a</v>
      </c>
      <c r="J108" s="21"/>
      <c r="K108" s="22"/>
      <c r="L108" s="20"/>
      <c r="M108" s="22"/>
      <c r="N108" s="20"/>
      <c r="O108" s="22"/>
    </row>
    <row r="109" spans="1:15" ht="66" x14ac:dyDescent="0.25">
      <c r="A109" s="30"/>
      <c r="B109" s="11" t="str">
        <f ca="1">IFERROR(__xludf.DUMMYFUNCTION("""COMPUTED_VALUE"""),"II
 16:45-18:15")</f>
        <v>II
 16:45-18:15</v>
      </c>
      <c r="C109" s="12" t="str">
        <f ca="1">IFERROR(__xludf.DUMMYFUNCTION("""COMPUTED_VALUE"""),"Structuri algebrice (sem), P. Sârbu, 415/4")</f>
        <v>Structuri algebrice (sem), P. Sârbu, 415/4</v>
      </c>
      <c r="D109" s="13" t="str">
        <f ca="1">IFERROR(__xludf.DUMMYFUNCTION("""COMPUTED_VALUE""")," I: Javascript (lab), 
A. Donu, 143/4
 II: Rețele de calc. (lab), 
E. Cuznețov, 145/4")</f>
        <v xml:space="preserve"> I: Javascript (lab), 
A. Donu, 143/4
 II: Rețele de calc. (lab), 
E. Cuznețov, 145/4</v>
      </c>
      <c r="E109" s="13" t="str">
        <f ca="1">IFERROR(__xludf.DUMMYFUNCTION("""COMPUTED_VALUE""")," I: POO (lab), 
A. Arnaut, 145a/4
 II: Python (lab), 
V. Trebiș, 251/4")</f>
        <v xml:space="preserve"> I: POO (lab), 
A. Arnaut, 145a/4
 II: Python (lab), 
V. Trebiș, 251/4</v>
      </c>
      <c r="F109" s="13"/>
      <c r="G109" s="14" t="str">
        <f ca="1">IFERROR(__xludf.DUMMYFUNCTION("""COMPUTED_VALUE""")," I: POO (lab), 
Gh. Latul, 423/4
 II: Javascript (lab), 
N. Nartea, 350/4")</f>
        <v xml:space="preserve"> I: POO (lab), 
Gh. Latul, 423/4
 II: Javascript (lab), 
N. Nartea, 350/4</v>
      </c>
      <c r="H109" s="12" t="str">
        <f ca="1">IFERROR(__xludf.DUMMYFUNCTION("""COMPUTED_VALUE"""),"Design UI/UX (prel), 
E. Mîndru, 213a/4")</f>
        <v>Design UI/UX (prel), 
E. Mîndru, 213a/4</v>
      </c>
      <c r="I109" s="13" t="str">
        <f ca="1">IFERROR(__xludf.DUMMYFUNCTION("""COMPUTED_VALUE"""),"Design UI/UX (prel), 
E. Mîndru, 213a/4")</f>
        <v>Design UI/UX (prel), 
E. Mîndru, 213a/4</v>
      </c>
      <c r="J109" s="13"/>
      <c r="K109" s="14" t="str">
        <f ca="1">IFERROR(__xludf.DUMMYFUNCTION("""COMPUTED_VALUE"""),"Design UI/UX (lab), 
V. Vișnevschi, 219/4a")</f>
        <v>Design UI/UX (lab), 
V. Vișnevschi, 219/4a</v>
      </c>
      <c r="L109" s="12" t="str">
        <f ca="1">IFERROR(__xludf.DUMMYFUNCTION("""COMPUTED_VALUE"""),"Dezv. apl. mob. (lab), 
C. Crudu, 218/4a")</f>
        <v>Dezv. apl. mob. (lab), 
C. Crudu, 218/4a</v>
      </c>
      <c r="M109" s="14"/>
      <c r="N109" s="12"/>
      <c r="O109" s="14" t="str">
        <f ca="1">IFERROR(__xludf.DUMMYFUNCTION("""COMPUTED_VALUE"""),"Admin. sec. RC (lab),
O. Cerbu, 216a/4a")</f>
        <v>Admin. sec. RC (lab),
O. Cerbu, 216a/4a</v>
      </c>
    </row>
    <row r="110" spans="1:15" ht="66" x14ac:dyDescent="0.25">
      <c r="A110" s="31"/>
      <c r="B110" s="15" t="str">
        <f ca="1">IFERROR(__xludf.DUMMYFUNCTION("""COMPUTED_VALUE"""),"III
 18:30-20:00")</f>
        <v>III
 18:30-20:00</v>
      </c>
      <c r="C110" s="16" t="str">
        <f ca="1">IFERROR(__xludf.DUMMYFUNCTION("""COMPUTED_VALUE"""),"Structuri algebrice (sem), P. Sârbu, 415/4")</f>
        <v>Structuri algebrice (sem), P. Sârbu, 415/4</v>
      </c>
      <c r="D110" s="17" t="str">
        <f ca="1">IFERROR(__xludf.DUMMYFUNCTION("""COMPUTED_VALUE""")," I: POO (lab), 
A. Arnaut, 145a/4
 II: Rețele de calc. (lab), 
E. Cuznețov, 145/4")</f>
        <v xml:space="preserve"> I: POO (lab), 
A. Arnaut, 145a/4
 II: Rețele de calc. (lab), 
E. Cuznețov, 145/4</v>
      </c>
      <c r="E110" s="17" t="str">
        <f ca="1">IFERROR(__xludf.DUMMYFUNCTION("""COMPUTED_VALUE""")," I: Javascript (lab), 
A. Donu, 143/4
 II: Python (lab), 
V. Trebiș, 251/4")</f>
        <v xml:space="preserve"> I: Javascript (lab), 
A. Donu, 143/4
 II: Python (lab), 
V. Trebiș, 251/4</v>
      </c>
      <c r="F110" s="17" t="str">
        <f ca="1">IFERROR(__xludf.DUMMYFUNCTION("""COMPUTED_VALUE"""),"POO (lab), 
A. Arnaut, 145a/4")</f>
        <v>POO (lab), 
A. Arnaut, 145a/4</v>
      </c>
      <c r="G110" s="18" t="str">
        <f ca="1">IFERROR(__xludf.DUMMYFUNCTION("""COMPUTED_VALUE""")," I: Javascript (lab), 
N. Nartea, 350/4
 II: POO (lab), 
Gh. Latul, 423/4")</f>
        <v xml:space="preserve"> I: Javascript (lab), 
N. Nartea, 350/4
 II: POO (lab), 
Gh. Latul, 423/4</v>
      </c>
      <c r="H110" s="16" t="str">
        <f ca="1">IFERROR(__xludf.DUMMYFUNCTION("""COMPUTED_VALUE"""),"Design UI/UX (prel), 
E. Mîndru, 213a/4")</f>
        <v>Design UI/UX (prel), 
E. Mîndru, 213a/4</v>
      </c>
      <c r="I110" s="17" t="str">
        <f ca="1">IFERROR(__xludf.DUMMYFUNCTION("""COMPUTED_VALUE"""),"Design UI/UX (prel), 
E. Mîndru, 213a/4")</f>
        <v>Design UI/UX (prel), 
E. Mîndru, 213a/4</v>
      </c>
      <c r="J110" s="17"/>
      <c r="K110" s="18" t="str">
        <f ca="1">IFERROR(__xludf.DUMMYFUNCTION("""COMPUTED_VALUE"""),"Design UI/UX (lab), 
V. Vișnevschi, 219/4a")</f>
        <v>Design UI/UX (lab), 
V. Vișnevschi, 219/4a</v>
      </c>
      <c r="L110" s="16" t="str">
        <f ca="1">IFERROR(__xludf.DUMMYFUNCTION("""COMPUTED_VALUE"""),"Dezv. apl. mob. (lab), 
C. Crudu, 2148/4a")</f>
        <v>Dezv. apl. mob. (lab), 
C. Crudu, 2148/4a</v>
      </c>
      <c r="M110" s="18"/>
      <c r="N110" s="16"/>
      <c r="O110" s="18" t="str">
        <f ca="1">IFERROR(__xludf.DUMMYFUNCTION("""COMPUTED_VALUE"""),"Admin. sec. RC (lab),
O. Cerbu, 216a/4a")</f>
        <v>Admin. sec. RC (lab),
O. Cerbu, 216a/4a</v>
      </c>
    </row>
    <row r="111" spans="1:15" ht="26.4" x14ac:dyDescent="0.25">
      <c r="A111" s="29" t="str">
        <f ca="1">IFERROR(__xludf.DUMMYFUNCTION("""COMPUTED_VALUE"""),"Sîmbătă,
20.12.2025")</f>
        <v>Sîmbătă,
20.12.2025</v>
      </c>
      <c r="B111" s="19" t="str">
        <f ca="1">IFERROR(__xludf.DUMMYFUNCTION("""COMPUTED_VALUE"""),"I
 08:00-9:30")</f>
        <v>I
 08:00-9:30</v>
      </c>
      <c r="C111" s="20"/>
      <c r="D111" s="21"/>
      <c r="E111" s="21"/>
      <c r="F111" s="21"/>
      <c r="G111" s="22" t="str">
        <f ca="1">IFERROR(__xludf.DUMMYFUNCTION("""COMPUTED_VALUE""")," I: Python (lab), 
V. Trebiș, 145/4")</f>
        <v xml:space="preserve"> I: Python (lab), 
V. Trebiș, 145/4</v>
      </c>
      <c r="H111" s="20" t="str">
        <f ca="1">IFERROR(__xludf.DUMMYFUNCTION("""COMPUTED_VALUE"""),"GA 2D (lab), 
E-M. Arseni, 143/4")</f>
        <v>GA 2D (lab), 
E-M. Arseni, 143/4</v>
      </c>
      <c r="I111" s="21" t="str">
        <f ca="1">IFERROR(__xludf.DUMMYFUNCTION("""COMPUTED_VALUE"""),"Cript. sec.inf. (lab), 
O. Cerbu, 251/4/4")</f>
        <v>Cript. sec.inf. (lab), 
O. Cerbu, 251/4/4</v>
      </c>
      <c r="J111" s="21"/>
      <c r="K111" s="22" t="str">
        <f ca="1">IFERROR(__xludf.DUMMYFUNCTION("""COMPUTED_VALUE"""),"GA 2D (lab), 
T. Iațîșina, 237/4")</f>
        <v>GA 2D (lab), 
T. Iațîșina, 237/4</v>
      </c>
      <c r="L111" s="20"/>
      <c r="M111" s="22"/>
      <c r="N111" s="20"/>
      <c r="O111" s="22"/>
    </row>
    <row r="112" spans="1:15" ht="26.4" x14ac:dyDescent="0.25">
      <c r="A112" s="30"/>
      <c r="B112" s="11" t="str">
        <f ca="1">IFERROR(__xludf.DUMMYFUNCTION("""COMPUTED_VALUE"""),"II
 09:45-11:15")</f>
        <v>II
 09:45-11:15</v>
      </c>
      <c r="C112" s="12" t="str">
        <f ca="1">IFERROR(__xludf.DUMMYFUNCTION("""COMPUTED_VALUE"""),"Analiza matem. (prel), V. Guțu, 415/4")</f>
        <v>Analiza matem. (prel), V. Guțu, 415/4</v>
      </c>
      <c r="D112" s="13" t="str">
        <f ca="1">IFERROR(__xludf.DUMMYFUNCTION("""COMPUTED_VALUE""")," I: Python (lab), 
V. Trebiș, 145/4")</f>
        <v xml:space="preserve"> I: Python (lab), 
V. Trebiș, 145/4</v>
      </c>
      <c r="E112" s="13"/>
      <c r="F112" s="13"/>
      <c r="G112" s="14" t="str">
        <f ca="1">IFERROR(__xludf.DUMMYFUNCTION("""COMPUTED_VALUE"""),"Rețele de calc. (prel), 
E. Cuznețov, 419/4")</f>
        <v>Rețele de calc. (prel), 
E. Cuznețov, 419/4</v>
      </c>
      <c r="H112" s="12" t="str">
        <f ca="1">IFERROR(__xludf.DUMMYFUNCTION("""COMPUTED_VALUE"""),"GA 2D (lab), 
E-M. Arseni, 143/4")</f>
        <v>GA 2D (lab), 
E-M. Arseni, 143/4</v>
      </c>
      <c r="I112" s="13" t="str">
        <f ca="1">IFERROR(__xludf.DUMMYFUNCTION("""COMPUTED_VALUE"""),"Cript. sec.inf. (lab), 
O. Cerbu, 251/4")</f>
        <v>Cript. sec.inf. (lab), 
O. Cerbu, 251/4</v>
      </c>
      <c r="J112" s="13" t="str">
        <f ca="1">IFERROR(__xludf.DUMMYFUNCTION("""COMPUTED_VALUE"""),"Pedagogie (sem), 
V. Clichici, 214/4/4")</f>
        <v>Pedagogie (sem), 
V. Clichici, 214/4/4</v>
      </c>
      <c r="K112" s="14" t="str">
        <f ca="1">IFERROR(__xludf.DUMMYFUNCTION("""COMPUTED_VALUE"""),"GA 2D (lab), 
T. Iațîșina, 237/4")</f>
        <v>GA 2D (lab), 
T. Iațîșina, 237/4</v>
      </c>
      <c r="L112" s="12" t="str">
        <f ca="1">IFERROR(__xludf.DUMMYFUNCTION("""COMPUTED_VALUE"""),"Spring (lab), 
M. Dodi, 326/4")</f>
        <v>Spring (lab), 
M. Dodi, 326/4</v>
      </c>
      <c r="M112" s="14"/>
      <c r="N112" s="12"/>
      <c r="O112" s="14"/>
    </row>
    <row r="113" spans="1:15" ht="26.4" x14ac:dyDescent="0.25">
      <c r="A113" s="30"/>
      <c r="B113" s="11" t="str">
        <f ca="1">IFERROR(__xludf.DUMMYFUNCTION("""COMPUTED_VALUE"""),"III
 11:30-13:00")</f>
        <v>III
 11:30-13:00</v>
      </c>
      <c r="C113" s="12" t="str">
        <f ca="1">IFERROR(__xludf.DUMMYFUNCTION("""COMPUTED_VALUE"""),"Analiza matem. (sem), V. Guțu, 415/4")</f>
        <v>Analiza matem. (sem), V. Guțu, 415/4</v>
      </c>
      <c r="D113" s="13" t="str">
        <f ca="1">IFERROR(__xludf.DUMMYFUNCTION("""COMPUTED_VALUE""")," I: Python (lab), 
V. Trebiș, 145/4")</f>
        <v xml:space="preserve"> I: Python (lab), 
V. Trebiș, 145/4</v>
      </c>
      <c r="E113" s="13"/>
      <c r="F113" s="13"/>
      <c r="G113" s="14" t="str">
        <f ca="1">IFERROR(__xludf.DUMMYFUNCTION("""COMPUTED_VALUE"""),"Rețele de calc. (prel), 
E. Cuznețov, 419/4")</f>
        <v>Rețele de calc. (prel), 
E. Cuznețov, 419/4</v>
      </c>
      <c r="H113" s="12" t="str">
        <f ca="1">IFERROR(__xludf.DUMMYFUNCTION("""COMPUTED_VALUE"""),"Cript. sec.inf. (lab), 
O. Cerbu, 251/4")</f>
        <v>Cript. sec.inf. (lab), 
O. Cerbu, 251/4</v>
      </c>
      <c r="I113" s="13" t="str">
        <f ca="1">IFERROR(__xludf.DUMMYFUNCTION("""COMPUTED_VALUE"""),"GA 2D (lab), 
E-M. Arseni, 143/4")</f>
        <v>GA 2D (lab), 
E-M. Arseni, 143/4</v>
      </c>
      <c r="J113" s="13" t="str">
        <f ca="1">IFERROR(__xludf.DUMMYFUNCTION("""COMPUTED_VALUE"""),"Pedagogie (sem), 
V. Clichici, 214/4")</f>
        <v>Pedagogie (sem), 
V. Clichici, 214/4</v>
      </c>
      <c r="K113" s="14" t="str">
        <f ca="1">IFERROR(__xludf.DUMMYFUNCTION("""COMPUTED_VALUE"""),"Design UI/UX (lab), 
V. Vișnevschi, 237/4")</f>
        <v>Design UI/UX (lab), 
V. Vișnevschi, 237/4</v>
      </c>
      <c r="L113" s="12" t="str">
        <f ca="1">IFERROR(__xludf.DUMMYFUNCTION("""COMPUTED_VALUE"""),"Spring (lab), 
M. Dodi, 326/4")</f>
        <v>Spring (lab), 
M. Dodi, 326/4</v>
      </c>
      <c r="M113" s="14"/>
      <c r="N113" s="12"/>
      <c r="O113" s="14"/>
    </row>
    <row r="114" spans="1:15" ht="66" x14ac:dyDescent="0.25">
      <c r="A114" s="30"/>
      <c r="B114" s="11" t="str">
        <f ca="1">IFERROR(__xludf.DUMMYFUNCTION("""COMPUTED_VALUE"""),"IV
 13:15-14:45")</f>
        <v>IV
 13:15-14:45</v>
      </c>
      <c r="C114" s="12"/>
      <c r="D114" s="13"/>
      <c r="E114" s="13" t="str">
        <f ca="1">IFERROR(__xludf.DUMMYFUNCTION("""COMPUTED_VALUE""")," I: Rețele de calc. (lab), 
E. Cuznețov, 145a/4
 II: Python (lab), 
V. Trebiș, 145/4")</f>
        <v xml:space="preserve"> I: Rețele de calc. (lab), 
E. Cuznețov, 145a/4
 II: Python (lab), 
V. Trebiș, 145/4</v>
      </c>
      <c r="F114" s="13" t="str">
        <f ca="1">IFERROR(__xludf.DUMMYFUNCTION("""COMPUTED_VALUE"""),"Rețele de calc. (lab), 
E. Cuznețov, 145a/4")</f>
        <v>Rețele de calc. (lab), 
E. Cuznețov, 145a/4</v>
      </c>
      <c r="G114" s="14" t="str">
        <f ca="1">IFERROR(__xludf.DUMMYFUNCTION("""COMPUTED_VALUE"""),"L. rom. (sem), 
 E. Braguță, 419/4")</f>
        <v>L. rom. (sem), 
 E. Braguță, 419/4</v>
      </c>
      <c r="H114" s="12" t="str">
        <f ca="1">IFERROR(__xludf.DUMMYFUNCTION("""COMPUTED_VALUE"""),"Cript. sec.inf. (lab), 
O. Cerbu, 251/4")</f>
        <v>Cript. sec.inf. (lab), 
O. Cerbu, 251/4</v>
      </c>
      <c r="I114" s="13" t="str">
        <f ca="1">IFERROR(__xludf.DUMMYFUNCTION("""COMPUTED_VALUE"""),"GA 2D (lab), 
E-M. Arseni, 143/4")</f>
        <v>GA 2D (lab), 
E-M. Arseni, 143/4</v>
      </c>
      <c r="J114" s="13"/>
      <c r="K114" s="14" t="str">
        <f ca="1">IFERROR(__xludf.DUMMYFUNCTION("""COMPUTED_VALUE"""),"Design UI/UX (lab), 
V. Vișnevschi, 237/4")</f>
        <v>Design UI/UX (lab), 
V. Vișnevschi, 237/4</v>
      </c>
      <c r="L114" s="12" t="str">
        <f ca="1">IFERROR(__xludf.DUMMYFUNCTION("""COMPUTED_VALUE"""),"Cloud comp. (prel), 
A. Prepeliță, 213a/4")</f>
        <v>Cloud comp. (prel), 
A. Prepeliță, 213a/4</v>
      </c>
      <c r="M114" s="14" t="str">
        <f ca="1">IFERROR(__xludf.DUMMYFUNCTION("""COMPUTED_VALUE"""),"Spring (lab), 
M. Dodi, 326/4")</f>
        <v>Spring (lab), 
M. Dodi, 326/4</v>
      </c>
      <c r="N114" s="12"/>
      <c r="O114" s="14"/>
    </row>
    <row r="115" spans="1:15" ht="66" x14ac:dyDescent="0.25">
      <c r="A115" s="30"/>
      <c r="B115" s="11" t="str">
        <f ca="1">IFERROR(__xludf.DUMMYFUNCTION("""COMPUTED_VALUE""")," V
15:00-16:30")</f>
        <v xml:space="preserve"> V
15:00-16:30</v>
      </c>
      <c r="C115" s="12"/>
      <c r="D115" s="13"/>
      <c r="E115" s="13" t="str">
        <f ca="1">IFERROR(__xludf.DUMMYFUNCTION("""COMPUTED_VALUE""")," I: Rețele de calc. (lab), 
E. Cuznețov, 145a/4
 II: Python (lab), 
V. Trebiș, 145/4")</f>
        <v xml:space="preserve"> I: Rețele de calc. (lab), 
E. Cuznețov, 145a/4
 II: Python (lab), 
V. Trebiș, 145/4</v>
      </c>
      <c r="F115" s="13" t="str">
        <f ca="1">IFERROR(__xludf.DUMMYFUNCTION("""COMPUTED_VALUE"""),"Rețele de calc. (lab), 
E. Cuznețov, 145a/4")</f>
        <v>Rețele de calc. (lab), 
E. Cuznețov, 145a/4</v>
      </c>
      <c r="G115" s="14" t="str">
        <f ca="1">IFERROR(__xludf.DUMMYFUNCTION("""COMPUTED_VALUE"""),"L. rom. (sem), 
 E. Braguță, 419/4")</f>
        <v>L. rom. (sem), 
 E. Braguță, 419/4</v>
      </c>
      <c r="H115" s="12" t="str">
        <f ca="1">IFERROR(__xludf.DUMMYFUNCTION("""COMPUTED_VALUE"""),"Design UI/UX (lab), 
E. Mîndru, 143/4")</f>
        <v>Design UI/UX (lab), 
E. Mîndru, 143/4</v>
      </c>
      <c r="I115" s="13"/>
      <c r="J115" s="13"/>
      <c r="K115" s="14" t="str">
        <f ca="1">IFERROR(__xludf.DUMMYFUNCTION("""COMPUTED_VALUE"""),"Cript. sec.inf. (lab), 
O. Cerbu, 251/4")</f>
        <v>Cript. sec.inf. (lab), 
O. Cerbu, 251/4</v>
      </c>
      <c r="L115" s="12" t="str">
        <f ca="1">IFERROR(__xludf.DUMMYFUNCTION("""COMPUTED_VALUE""")," I: Cloud comp. (lab), 
A. Prepeliță, 237/4")</f>
        <v xml:space="preserve"> I: Cloud comp. (lab), 
A. Prepeliță, 237/4</v>
      </c>
      <c r="M115" s="14" t="str">
        <f ca="1">IFERROR(__xludf.DUMMYFUNCTION("""COMPUTED_VALUE"""),"Spring (lab), 
M. Dodi, 326/4")</f>
        <v>Spring (lab), 
M. Dodi, 326/4</v>
      </c>
      <c r="N115" s="12"/>
      <c r="O115" s="14"/>
    </row>
    <row r="116" spans="1:15" ht="26.4" x14ac:dyDescent="0.25">
      <c r="A116" s="31"/>
      <c r="B116" s="15" t="str">
        <f ca="1">IFERROR(__xludf.DUMMYFUNCTION("""COMPUTED_VALUE"""),"VI
 16:45-18:15")</f>
        <v>VI
 16:45-18:15</v>
      </c>
      <c r="C116" s="16"/>
      <c r="D116" s="17"/>
      <c r="E116" s="17"/>
      <c r="F116" s="17"/>
      <c r="G116" s="18"/>
      <c r="H116" s="16" t="str">
        <f ca="1">IFERROR(__xludf.DUMMYFUNCTION("""COMPUTED_VALUE"""),"Design UI/UX (lab), 
E. Mîndru, 143/4")</f>
        <v>Design UI/UX (lab), 
E. Mîndru, 143/4</v>
      </c>
      <c r="I116" s="17"/>
      <c r="J116" s="17"/>
      <c r="K116" s="18" t="str">
        <f ca="1">IFERROR(__xludf.DUMMYFUNCTION("""COMPUTED_VALUE"""),"Cript. sec.inf. (lab), 
O. Cerbu, 251/4")</f>
        <v>Cript. sec.inf. (lab), 
O. Cerbu, 251/4</v>
      </c>
      <c r="L116" s="16" t="str">
        <f ca="1">IFERROR(__xludf.DUMMYFUNCTION("""COMPUTED_VALUE""")," II: Cloud comp. (lab), 
A. Prepeliță, 237/4")</f>
        <v xml:space="preserve"> II: Cloud comp. (lab), 
A. Prepeliță, 237/4</v>
      </c>
      <c r="M116" s="18"/>
      <c r="N116" s="16"/>
      <c r="O116" s="18"/>
    </row>
    <row r="117" spans="1:15" ht="26.4" x14ac:dyDescent="0.25">
      <c r="A117" s="29" t="str">
        <f ca="1">IFERROR(__xludf.DUMMYFUNCTION("""COMPUTED_VALUE"""),"Duminică,
21.12.2025")</f>
        <v>Duminică,
21.12.2025</v>
      </c>
      <c r="B117" s="19" t="str">
        <f ca="1">IFERROR(__xludf.DUMMYFUNCTION("""COMPUTED_VALUE"""),"I
 08:00-9:30")</f>
        <v>I
 08:00-9:30</v>
      </c>
      <c r="C117" s="20"/>
      <c r="D117" s="21"/>
      <c r="E117" s="21"/>
      <c r="F117" s="21"/>
      <c r="G117" s="22"/>
      <c r="H117" s="20" t="str">
        <f ca="1">IFERROR(__xludf.DUMMYFUNCTION("""COMPUTED_VALUE"""),"Cript. sec.inf. (lab), 
O. Cerbu, 237/4")</f>
        <v>Cript. sec.inf. (lab), 
O. Cerbu, 237/4</v>
      </c>
      <c r="I117" s="21" t="str">
        <f ca="1">IFERROR(__xludf.DUMMYFUNCTION("""COMPUTED_VALUE"""),"GA 2D (lab), 
E-M. Arseni, 251/4")</f>
        <v>GA 2D (lab), 
E-M. Arseni, 251/4</v>
      </c>
      <c r="J117" s="21"/>
      <c r="K117" s="22"/>
      <c r="L117" s="20"/>
      <c r="M117" s="22"/>
      <c r="N117" s="20"/>
      <c r="O117" s="22"/>
    </row>
    <row r="118" spans="1:15" ht="39.6" x14ac:dyDescent="0.25">
      <c r="A118" s="30"/>
      <c r="B118" s="11" t="str">
        <f ca="1">IFERROR(__xludf.DUMMYFUNCTION("""COMPUTED_VALUE"""),"II
 09:45-11:15")</f>
        <v>II
 09:45-11:15</v>
      </c>
      <c r="C118" s="12"/>
      <c r="D118" s="13" t="str">
        <f ca="1">IFERROR(__xludf.DUMMYFUNCTION("""COMPUTED_VALUE""")," II: Python (lab), 
V. Trebiș, 145/4")</f>
        <v xml:space="preserve"> II: Python (lab), 
V. Trebiș, 145/4</v>
      </c>
      <c r="E118" s="13" t="str">
        <f ca="1">IFERROR(__xludf.DUMMYFUNCTION("""COMPUTED_VALUE""")," II: POO (lab), 
A. Arnaut, 145a/4")</f>
        <v xml:space="preserve"> II: POO (lab), 
A. Arnaut, 145a/4</v>
      </c>
      <c r="F118" s="13"/>
      <c r="G118" s="14" t="str">
        <f ca="1">IFERROR(__xludf.DUMMYFUNCTION("""COMPUTED_VALUE""")," I: Rețele de calc. (lab), 
E. Cuznețov, 143/4")</f>
        <v xml:space="preserve"> I: Rețele de calc. (lab), 
E. Cuznețov, 143/4</v>
      </c>
      <c r="H118" s="12" t="str">
        <f ca="1">IFERROR(__xludf.DUMMYFUNCTION("""COMPUTED_VALUE"""),"Cript. sec.inf. (lab), 
O. Cerbu, 237/4")</f>
        <v>Cript. sec.inf. (lab), 
O. Cerbu, 237/4</v>
      </c>
      <c r="I118" s="13" t="str">
        <f ca="1">IFERROR(__xludf.DUMMYFUNCTION("""COMPUTED_VALUE"""),"GA 2D (lab), 
E-M. Arseni, 251/4")</f>
        <v>GA 2D (lab), 
E-M. Arseni, 251/4</v>
      </c>
      <c r="J118" s="13"/>
      <c r="K118" s="14"/>
      <c r="L118" s="12"/>
      <c r="M118" s="14"/>
      <c r="N118" s="12"/>
      <c r="O118" s="14"/>
    </row>
    <row r="119" spans="1:15" ht="39.6" x14ac:dyDescent="0.25">
      <c r="A119" s="30"/>
      <c r="B119" s="11" t="str">
        <f ca="1">IFERROR(__xludf.DUMMYFUNCTION("""COMPUTED_VALUE"""),"III
 11:30-13:00")</f>
        <v>III
 11:30-13:00</v>
      </c>
      <c r="C119" s="12"/>
      <c r="D119" s="13" t="str">
        <f ca="1">IFERROR(__xludf.DUMMYFUNCTION("""COMPUTED_VALUE""")," II: Python (lab), 
V. Trebiș, 145/4")</f>
        <v xml:space="preserve"> II: Python (lab), 
V. Trebiș, 145/4</v>
      </c>
      <c r="E119" s="13" t="str">
        <f ca="1">IFERROR(__xludf.DUMMYFUNCTION("""COMPUTED_VALUE""")," II: POO (lab), 
A. Arnaut, 145a/4")</f>
        <v xml:space="preserve"> II: POO (lab), 
A. Arnaut, 145a/4</v>
      </c>
      <c r="F119" s="13"/>
      <c r="G119" s="14" t="str">
        <f ca="1">IFERROR(__xludf.DUMMYFUNCTION("""COMPUTED_VALUE""")," I: Rețele de calc. (lab), 
E. Cuznețov, 143/4")</f>
        <v xml:space="preserve"> I: Rețele de calc. (lab), 
E. Cuznețov, 143/4</v>
      </c>
      <c r="H119" s="12" t="str">
        <f ca="1">IFERROR(__xludf.DUMMYFUNCTION("""COMPUTED_VALUE"""),"GA 2D (lab), 
E-M. Arseni, 251/4")</f>
        <v>GA 2D (lab), 
E-M. Arseni, 251/4</v>
      </c>
      <c r="I119" s="13" t="str">
        <f ca="1">IFERROR(__xludf.DUMMYFUNCTION("""COMPUTED_VALUE"""),"Cript. sec.inf. (lab), 
O. Cerbu, 237/4")</f>
        <v>Cript. sec.inf. (lab), 
O. Cerbu, 237/4</v>
      </c>
      <c r="J119" s="13"/>
      <c r="K119" s="14" t="str">
        <f ca="1">IFERROR(__xludf.DUMMYFUNCTION("""COMPUTED_VALUE"""),"Design UI/UX (lab), 
V. Vișnevschi, 423/4")</f>
        <v>Design UI/UX (lab), 
V. Vișnevschi, 423/4</v>
      </c>
      <c r="L119" s="12"/>
      <c r="M119" s="14"/>
      <c r="N119" s="12"/>
      <c r="O119" s="14"/>
    </row>
    <row r="120" spans="1:15" ht="39.6" x14ac:dyDescent="0.25">
      <c r="A120" s="30"/>
      <c r="B120" s="11" t="str">
        <f ca="1">IFERROR(__xludf.DUMMYFUNCTION("""COMPUTED_VALUE"""),"IV
 13:15-14:45")</f>
        <v>IV
 13:15-14:45</v>
      </c>
      <c r="C120" s="12"/>
      <c r="D120" s="13" t="str">
        <f ca="1">IFERROR(__xludf.DUMMYFUNCTION("""COMPUTED_VALUE""")," I: Rețele de calc. (lab), 
E. Cuznețov, 143/4")</f>
        <v xml:space="preserve"> I: Rețele de calc. (lab), 
E. Cuznețov, 143/4</v>
      </c>
      <c r="E120" s="13" t="str">
        <f ca="1">IFERROR(__xludf.DUMMYFUNCTION("""COMPUTED_VALUE""")," I: Python (lab), 
V. Trebiș, 145/4")</f>
        <v xml:space="preserve"> I: Python (lab), 
V. Trebiș, 145/4</v>
      </c>
      <c r="F120" s="13"/>
      <c r="G120" s="14" t="str">
        <f ca="1">IFERROR(__xludf.DUMMYFUNCTION("""COMPUTED_VALUE"""),"L. rom. (sem), 
 E. Braguță, 214/4")</f>
        <v>L. rom. (sem), 
 E. Braguță, 214/4</v>
      </c>
      <c r="H120" s="12" t="str">
        <f ca="1">IFERROR(__xludf.DUMMYFUNCTION("""COMPUTED_VALUE"""),"GA 2D (lab), 
E-M. Arseni, 251/4")</f>
        <v>GA 2D (lab), 
E-M. Arseni, 251/4</v>
      </c>
      <c r="I120" s="13" t="str">
        <f ca="1">IFERROR(__xludf.DUMMYFUNCTION("""COMPUTED_VALUE"""),"Cript. sec.inf. (lab), 
O. Cerbu, 237/4")</f>
        <v>Cript. sec.inf. (lab), 
O. Cerbu, 237/4</v>
      </c>
      <c r="J120" s="13"/>
      <c r="K120" s="14" t="str">
        <f ca="1">IFERROR(__xludf.DUMMYFUNCTION("""COMPUTED_VALUE"""),"Design UI/UX (lab), 
V. Vișnevschi, 423/4")</f>
        <v>Design UI/UX (lab), 
V. Vișnevschi, 423/4</v>
      </c>
      <c r="L120" s="12"/>
      <c r="M120" s="14"/>
      <c r="N120" s="12"/>
      <c r="O120" s="14"/>
    </row>
    <row r="121" spans="1:15" ht="39.6" x14ac:dyDescent="0.25">
      <c r="A121" s="30"/>
      <c r="B121" s="11" t="str">
        <f ca="1">IFERROR(__xludf.DUMMYFUNCTION("""COMPUTED_VALUE""")," V
15:00-16:30")</f>
        <v xml:space="preserve"> V
15:00-16:30</v>
      </c>
      <c r="C121" s="12"/>
      <c r="D121" s="13" t="str">
        <f ca="1">IFERROR(__xludf.DUMMYFUNCTION("""COMPUTED_VALUE""")," I: Rețele de calc. (lab), 
E. Cuznețov, 143/4")</f>
        <v xml:space="preserve"> I: Rețele de calc. (lab), 
E. Cuznețov, 143/4</v>
      </c>
      <c r="E121" s="13" t="str">
        <f ca="1">IFERROR(__xludf.DUMMYFUNCTION("""COMPUTED_VALUE""")," I: Python (lab), 
V. Trebiș, 145/4")</f>
        <v xml:space="preserve"> I: Python (lab), 
V. Trebiș, 145/4</v>
      </c>
      <c r="F121" s="13"/>
      <c r="G121" s="14" t="str">
        <f ca="1">IFERROR(__xludf.DUMMYFUNCTION("""COMPUTED_VALUE"""),"L. rom. (sem), 
 E. Braguță, 214/4")</f>
        <v>L. rom. (sem), 
 E. Braguță, 214/4</v>
      </c>
      <c r="H121" s="12"/>
      <c r="I121" s="13" t="str">
        <f ca="1">IFERROR(__xludf.DUMMYFUNCTION("""COMPUTED_VALUE"""),"Design UI/UX (lab), 
E. Mîndru, 350/4")</f>
        <v>Design UI/UX (lab), 
E. Mîndru, 350/4</v>
      </c>
      <c r="J121" s="13"/>
      <c r="K121" s="14" t="str">
        <f ca="1">IFERROR(__xludf.DUMMYFUNCTION("""COMPUTED_VALUE"""),"Cript. sec.inf. (lab), 
O. Cerbu, 237/4")</f>
        <v>Cript. sec.inf. (lab), 
O. Cerbu, 237/4</v>
      </c>
      <c r="L121" s="12"/>
      <c r="M121" s="14"/>
      <c r="N121" s="12"/>
      <c r="O121" s="14"/>
    </row>
    <row r="122" spans="1:15" ht="27" thickBot="1" x14ac:dyDescent="0.3">
      <c r="A122" s="30"/>
      <c r="B122" s="11" t="str">
        <f ca="1">IFERROR(__xludf.DUMMYFUNCTION("""COMPUTED_VALUE"""),"VI
 16:45-18:15")</f>
        <v>VI
 16:45-18:15</v>
      </c>
      <c r="C122" s="12"/>
      <c r="D122" s="13" t="str">
        <f ca="1">IFERROR(__xludf.DUMMYFUNCTION("""COMPUTED_VALUE""")," I: Python (lab), 
V. Trebiș, 145/4")</f>
        <v xml:space="preserve"> I: Python (lab), 
V. Trebiș, 145/4</v>
      </c>
      <c r="E122" s="13"/>
      <c r="F122" s="13"/>
      <c r="G122" s="14"/>
      <c r="H122" s="12"/>
      <c r="I122" s="13" t="str">
        <f ca="1">IFERROR(__xludf.DUMMYFUNCTION("""COMPUTED_VALUE"""),"Design UI/UX (lab), 
E. Mîndru, 350/4")</f>
        <v>Design UI/UX (lab), 
E. Mîndru, 350/4</v>
      </c>
      <c r="J122" s="13"/>
      <c r="K122" s="14" t="str">
        <f ca="1">IFERROR(__xludf.DUMMYFUNCTION("""COMPUTED_VALUE"""),"Cript. sec.inf. (lab), 
O. Cerbu, 237/4")</f>
        <v>Cript. sec.inf. (lab), 
O. Cerbu, 237/4</v>
      </c>
      <c r="L122" s="12"/>
      <c r="M122" s="14"/>
      <c r="N122" s="12"/>
      <c r="O122" s="14"/>
    </row>
    <row r="123" spans="1:15" ht="66.599999999999994" thickTop="1" x14ac:dyDescent="0.25">
      <c r="A123" s="29" t="str">
        <f ca="1">IFERROR(__xludf.DUMMYFUNCTION("""COMPUTED_VALUE"""),"Luni,
22.12.2025")</f>
        <v>Luni,
22.12.2025</v>
      </c>
      <c r="B123" s="19" t="str">
        <f ca="1">IFERROR(__xludf.DUMMYFUNCTION("""COMPUTED_VALUE""")," I
15:00-16:30")</f>
        <v xml:space="preserve"> I
15:00-16:30</v>
      </c>
      <c r="C123" s="20"/>
      <c r="D123" s="21"/>
      <c r="E123" s="21" t="str">
        <f ca="1">IFERROR(__xludf.DUMMYFUNCTION("""COMPUTED_VALUE""")," I: Rețele de calc. (lab), 
E. Cuznețov, 145a/4
 II: Javascript (lab), 
A. Donu, 143/4")</f>
        <v xml:space="preserve"> I: Rețele de calc. (lab), 
E. Cuznețov, 145a/4
 II: Javascript (lab), 
A. Donu, 143/4</v>
      </c>
      <c r="F123" s="21" t="str">
        <f ca="1">IFERROR(__xludf.DUMMYFUNCTION("""COMPUTED_VALUE"""),"Rețele de calc. (lab), 
E. Cuznețov, 145a/4")</f>
        <v>Rețele de calc. (lab), 
E. Cuznețov, 145a/4</v>
      </c>
      <c r="G123" s="22"/>
      <c r="H123" s="20" t="str">
        <f ca="1">IFERROR(__xludf.DUMMYFUNCTION("""COMPUTED_VALUE"""),"Alg. str. date (lab), 
O. Cerbu, 145/4")</f>
        <v>Alg. str. date (lab), 
O. Cerbu, 145/4</v>
      </c>
      <c r="I123" s="21" t="str">
        <f ca="1">IFERROR(__xludf.DUMMYFUNCTION("""COMPUTED_VALUE"""),"GA 2D (lab), 
E-M. Arseni, 237/4")</f>
        <v>GA 2D (lab), 
E-M. Arseni, 237/4</v>
      </c>
      <c r="J123" s="21" t="str">
        <f ca="1">IFERROR(__xludf.DUMMYFUNCTION("""COMPUTED_VALUE"""),"Alg. str. date (lab), 
O. Cerbu, 145/4")</f>
        <v>Alg. str. date (lab), 
O. Cerbu, 145/4</v>
      </c>
      <c r="K123" s="22" t="str">
        <f ca="1">IFERROR(__xludf.DUMMYFUNCTION("""COMPUTED_VALUE"""),"Proiect. SI. (lab), 
A. Gladei, 251/4")</f>
        <v>Proiect. SI. (lab), 
A. Gladei, 251/4</v>
      </c>
      <c r="L123" s="20"/>
      <c r="M123" s="22"/>
      <c r="N123" s="20"/>
      <c r="O123" s="22"/>
    </row>
    <row r="124" spans="1:15" ht="39.6" x14ac:dyDescent="0.25">
      <c r="A124" s="30"/>
      <c r="B124" s="11" t="str">
        <f ca="1">IFERROR(__xludf.DUMMYFUNCTION("""COMPUTED_VALUE""")," II
16:45-18:15")</f>
        <v xml:space="preserve"> II
16:45-18:15</v>
      </c>
      <c r="C124" s="12" t="str">
        <f ca="1">IFERROR(__xludf.DUMMYFUNCTION("""COMPUTED_VALUE"""),"Python (prel), B. Hâncu, 239/4")</f>
        <v>Python (prel), B. Hâncu, 239/4</v>
      </c>
      <c r="D124" s="13"/>
      <c r="E124" s="13" t="str">
        <f ca="1">IFERROR(__xludf.DUMMYFUNCTION("""COMPUTED_VALUE""")," II: Rețele de calc. (lab), 
E. Cuznețov, 145a/4")</f>
        <v xml:space="preserve"> II: Rețele de calc. (lab), 
E. Cuznețov, 145a/4</v>
      </c>
      <c r="F124" s="13" t="str">
        <f ca="1">IFERROR(__xludf.DUMMYFUNCTION("""COMPUTED_VALUE"""),"Psih. v. (prel), V. Miron, 419/4")</f>
        <v>Psih. v. (prel), V. Miron, 419/4</v>
      </c>
      <c r="G124" s="14" t="str">
        <f ca="1">IFERROR(__xludf.DUMMYFUNCTION("""COMPUTED_VALUE""")," I: Python (lab), 
V. Trebiș, 143/4")</f>
        <v xml:space="preserve"> I: Python (lab), 
V. Trebiș, 143/4</v>
      </c>
      <c r="H124" s="12" t="str">
        <f ca="1">IFERROR(__xludf.DUMMYFUNCTION("""COMPUTED_VALUE"""),"Proiect. SI. (lab), 
A. Gladei, 251/4")</f>
        <v>Proiect. SI. (lab), 
A. Gladei, 251/4</v>
      </c>
      <c r="I124" s="13" t="str">
        <f ca="1">IFERROR(__xludf.DUMMYFUNCTION("""COMPUTED_VALUE"""),"GA 2D (lab), 
E-M. Arseni, 237/4")</f>
        <v>GA 2D (lab), 
E-M. Arseni, 237/4</v>
      </c>
      <c r="J124" s="13" t="str">
        <f ca="1">IFERROR(__xludf.DUMMYFUNCTION("""COMPUTED_VALUE"""),"Proiect. SI. (lab), 
A. Gladei, 251/4")</f>
        <v>Proiect. SI. (lab), 
A. Gladei, 251/4</v>
      </c>
      <c r="K124" s="14" t="str">
        <f ca="1">IFERROR(__xludf.DUMMYFUNCTION("""COMPUTED_VALUE"""),"Alg. str. date (lab), 
S. Corlat, 145/4")</f>
        <v>Alg. str. date (lab), 
S. Corlat, 145/4</v>
      </c>
      <c r="L124" s="12" t="str">
        <f ca="1">IFERROR(__xludf.DUMMYFUNCTION("""COMPUTED_VALUE""")," II: IA (lab), 
T. Bumbu, 326/4")</f>
        <v xml:space="preserve"> II: IA (lab), 
T. Bumbu, 326/4</v>
      </c>
      <c r="M124" s="14" t="str">
        <f ca="1">IFERROR(__xludf.DUMMYFUNCTION("""COMPUTED_VALUE"""),"Cloud comp. (prel), 
N. Nartea, 350/4")</f>
        <v>Cloud comp. (prel), 
N. Nartea, 350/4</v>
      </c>
      <c r="N124" s="12"/>
      <c r="O124" s="14"/>
    </row>
    <row r="125" spans="1:15" ht="39.6" x14ac:dyDescent="0.25">
      <c r="A125" s="31"/>
      <c r="B125" s="15" t="str">
        <f ca="1">IFERROR(__xludf.DUMMYFUNCTION("""COMPUTED_VALUE"""),"III
18:30-20:00")</f>
        <v>III
18:30-20:00</v>
      </c>
      <c r="C125" s="16" t="str">
        <f ca="1">IFERROR(__xludf.DUMMYFUNCTION("""COMPUTED_VALUE"""),"Python (lab), B. Hâncu, 239/4")</f>
        <v>Python (lab), B. Hâncu, 239/4</v>
      </c>
      <c r="D125" s="17"/>
      <c r="E125" s="17" t="str">
        <f ca="1">IFERROR(__xludf.DUMMYFUNCTION("""COMPUTED_VALUE""")," II: Rețele de calc. (lab), 
E. Cuznețov, 145a/4")</f>
        <v xml:space="preserve"> II: Rețele de calc. (lab), 
E. Cuznețov, 145a/4</v>
      </c>
      <c r="F125" s="17" t="str">
        <f ca="1">IFERROR(__xludf.DUMMYFUNCTION("""COMPUTED_VALUE"""),"Psih. v. (sem), V. Miron, 419/4")</f>
        <v>Psih. v. (sem), V. Miron, 419/4</v>
      </c>
      <c r="G125" s="18" t="str">
        <f ca="1">IFERROR(__xludf.DUMMYFUNCTION("""COMPUTED_VALUE""")," I: Python (lab), 
V. Trebiș, 143/4")</f>
        <v xml:space="preserve"> I: Python (lab), 
V. Trebiș, 143/4</v>
      </c>
      <c r="H125" s="16"/>
      <c r="I125" s="17" t="str">
        <f ca="1">IFERROR(__xludf.DUMMYFUNCTION("""COMPUTED_VALUE"""),"Proiect. SI. (lab), 
A. Gladei, 251/4")</f>
        <v>Proiect. SI. (lab), 
A. Gladei, 251/4</v>
      </c>
      <c r="J125" s="17"/>
      <c r="K125" s="18" t="str">
        <f ca="1">IFERROR(__xludf.DUMMYFUNCTION("""COMPUTED_VALUE"""),"Alg. str. date (lab), 
S. Corlat, 145/4")</f>
        <v>Alg. str. date (lab), 
S. Corlat, 145/4</v>
      </c>
      <c r="L125" s="16" t="str">
        <f ca="1">IFERROR(__xludf.DUMMYFUNCTION("""COMPUTED_VALUE""")," II: IA (lab), 
T. Bumbu, 326/4")</f>
        <v xml:space="preserve"> II: IA (lab), 
T. Bumbu, 326/4</v>
      </c>
      <c r="M125" s="18" t="str">
        <f ca="1">IFERROR(__xludf.DUMMYFUNCTION("""COMPUTED_VALUE"""),"Cloud comp. (lab), 
N. Nartea, 350/4")</f>
        <v>Cloud comp. (lab), 
N. Nartea, 350/4</v>
      </c>
      <c r="N125" s="16"/>
      <c r="O125" s="18"/>
    </row>
    <row r="126" spans="1:15" ht="39.6" x14ac:dyDescent="0.25">
      <c r="A126" s="29" t="str">
        <f ca="1">IFERROR(__xludf.DUMMYFUNCTION("""COMPUTED_VALUE"""),"Marți,
23.12.2025")</f>
        <v>Marți,
23.12.2025</v>
      </c>
      <c r="B126" s="19" t="str">
        <f ca="1">IFERROR(__xludf.DUMMYFUNCTION("""COMPUTED_VALUE""")," I
15:00-16:30")</f>
        <v xml:space="preserve"> I
15:00-16:30</v>
      </c>
      <c r="C126" s="20"/>
      <c r="D126" s="21"/>
      <c r="E126" s="21" t="str">
        <f ca="1">IFERROR(__xludf.DUMMYFUNCTION("""COMPUTED_VALUE""")," II: Rețele de calc. (lab), 
E. Cuznețov, 143/4")</f>
        <v xml:space="preserve"> II: Rețele de calc. (lab), 
E. Cuznețov, 143/4</v>
      </c>
      <c r="F126" s="21"/>
      <c r="G126" s="22"/>
      <c r="H126" s="20"/>
      <c r="I126" s="21"/>
      <c r="J126" s="21"/>
      <c r="K126" s="22"/>
      <c r="L126" s="20"/>
      <c r="M126" s="22"/>
      <c r="N126" s="20"/>
      <c r="O126" s="22"/>
    </row>
    <row r="127" spans="1:15" ht="39.6" x14ac:dyDescent="0.25">
      <c r="A127" s="30"/>
      <c r="B127" s="11" t="str">
        <f ca="1">IFERROR(__xludf.DUMMYFUNCTION("""COMPUTED_VALUE"""),"II
16:45-18:15")</f>
        <v>II
16:45-18:15</v>
      </c>
      <c r="C127" s="12" t="str">
        <f ca="1">IFERROR(__xludf.DUMMYFUNCTION("""COMPUTED_VALUE"""),"Topol. teor. mas. (prel), P. Efros, 415/4")</f>
        <v>Topol. teor. mas. (prel), P. Efros, 415/4</v>
      </c>
      <c r="D127" s="13" t="str">
        <f ca="1">IFERROR(__xludf.DUMMYFUNCTION("""COMPUTED_VALUE""")," I: Rețele de calc. (lab), 
E. Cuznețov, 145/4")</f>
        <v xml:space="preserve"> I: Rețele de calc. (lab), 
E. Cuznețov, 145/4</v>
      </c>
      <c r="E127" s="13"/>
      <c r="F127" s="13" t="str">
        <f ca="1">IFERROR(__xludf.DUMMYFUNCTION("""COMPUTED_VALUE"""),"Psih. v. (sem), V. Miron, 419/4")</f>
        <v>Psih. v. (sem), V. Miron, 419/4</v>
      </c>
      <c r="G127" s="14"/>
      <c r="H127" s="12" t="str">
        <f ca="1">IFERROR(__xludf.DUMMYFUNCTION("""COMPUTED_VALUE"""),"GA 2D (lab), 
E-M. Arseni, 423/4")</f>
        <v>GA 2D (lab), 
E-M. Arseni, 423/4</v>
      </c>
      <c r="I127" s="13" t="str">
        <f ca="1">IFERROR(__xludf.DUMMYFUNCTION("""COMPUTED_VALUE"""),"Design UI/UX (lab), 
E. Mîndru, 350/4")</f>
        <v>Design UI/UX (lab), 
E. Mîndru, 350/4</v>
      </c>
      <c r="J127" s="13"/>
      <c r="K127" s="14" t="str">
        <f ca="1">IFERROR(__xludf.DUMMYFUNCTION("""COMPUTED_VALUE"""),"Cript. sec.inf. (lab), 
O. Cerbu, 237/4")</f>
        <v>Cript. sec.inf. (lab), 
O. Cerbu, 237/4</v>
      </c>
      <c r="L127" s="12"/>
      <c r="M127" s="14"/>
      <c r="N127" s="12"/>
      <c r="O127" s="14"/>
    </row>
    <row r="128" spans="1:15" ht="39.6" x14ac:dyDescent="0.25">
      <c r="A128" s="31"/>
      <c r="B128" s="15" t="str">
        <f ca="1">IFERROR(__xludf.DUMMYFUNCTION("""COMPUTED_VALUE""")," III
18:30-20:00")</f>
        <v xml:space="preserve"> III
18:30-20:00</v>
      </c>
      <c r="C128" s="16" t="str">
        <f ca="1">IFERROR(__xludf.DUMMYFUNCTION("""COMPUTED_VALUE"""),"Topol. teor. mas. (sem), P. Efros, 415/4")</f>
        <v>Topol. teor. mas. (sem), P. Efros, 415/4</v>
      </c>
      <c r="D128" s="17" t="str">
        <f ca="1">IFERROR(__xludf.DUMMYFUNCTION("""COMPUTED_VALUE""")," I: Rețele de calc. (lab), 
E. Cuznețov, 145/4")</f>
        <v xml:space="preserve"> I: Rețele de calc. (lab), 
E. Cuznețov, 145/4</v>
      </c>
      <c r="E128" s="17"/>
      <c r="F128" s="17" t="str">
        <f ca="1">IFERROR(__xludf.DUMMYFUNCTION("""COMPUTED_VALUE"""),"Psih. v. (sem), V. Miron, 419/4")</f>
        <v>Psih. v. (sem), V. Miron, 419/4</v>
      </c>
      <c r="G128" s="18"/>
      <c r="H128" s="16" t="str">
        <f ca="1">IFERROR(__xludf.DUMMYFUNCTION("""COMPUTED_VALUE"""),"GA 2D (lab), 
E-M. Arseni, 423/4")</f>
        <v>GA 2D (lab), 
E-M. Arseni, 423/4</v>
      </c>
      <c r="I128" s="17" t="str">
        <f ca="1">IFERROR(__xludf.DUMMYFUNCTION("""COMPUTED_VALUE"""),"Design UI/UX (lab), 
E. Mîndru, 350/4")</f>
        <v>Design UI/UX (lab), 
E. Mîndru, 350/4</v>
      </c>
      <c r="J128" s="17"/>
      <c r="K128" s="18" t="str">
        <f ca="1">IFERROR(__xludf.DUMMYFUNCTION("""COMPUTED_VALUE"""),"Cript. sec.inf. (lab), 
O. Cerbu, 237/4")</f>
        <v>Cript. sec.inf. (lab), 
O. Cerbu, 237/4</v>
      </c>
      <c r="L128" s="16"/>
      <c r="M128" s="18"/>
      <c r="N128" s="16"/>
      <c r="O128" s="18"/>
    </row>
    <row r="129" spans="1:15" ht="26.4" x14ac:dyDescent="0.25">
      <c r="A129" s="29" t="str">
        <f ca="1">IFERROR(__xludf.DUMMYFUNCTION("""COMPUTED_VALUE"""),"Miercuri,
24.12.2025")</f>
        <v>Miercuri,
24.12.2025</v>
      </c>
      <c r="B129" s="19" t="str">
        <f ca="1">IFERROR(__xludf.DUMMYFUNCTION("""COMPUTED_VALUE""")," I
15:00-16:30")</f>
        <v xml:space="preserve"> I
15:00-16:30</v>
      </c>
      <c r="C129" s="20"/>
      <c r="D129" s="21"/>
      <c r="E129" s="21"/>
      <c r="F129" s="21"/>
      <c r="G129" s="22" t="str">
        <f ca="1">IFERROR(__xludf.DUMMYFUNCTION("""COMPUTED_VALUE""")," II: Python (lab), 
V. Trebiș, 143/4")</f>
        <v xml:space="preserve"> II: Python (lab), 
V. Trebiș, 143/4</v>
      </c>
      <c r="H129" s="20"/>
      <c r="I129" s="21"/>
      <c r="J129" s="21"/>
      <c r="K129" s="22"/>
      <c r="L129" s="20"/>
      <c r="M129" s="22"/>
      <c r="N129" s="20"/>
      <c r="O129" s="22"/>
    </row>
    <row r="130" spans="1:15" ht="39.6" x14ac:dyDescent="0.25">
      <c r="A130" s="30"/>
      <c r="B130" s="11" t="str">
        <f ca="1">IFERROR(__xludf.DUMMYFUNCTION("""COMPUTED_VALUE""")," II
16:45-18:15")</f>
        <v xml:space="preserve"> II
16:45-18:15</v>
      </c>
      <c r="C130" s="12" t="str">
        <f ca="1">IFERROR(__xludf.DUMMYFUNCTION("""COMPUTED_VALUE"""),"Utilizare TI (lab), C. Țurcan, 9/2a")</f>
        <v>Utilizare TI (lab), C. Țurcan, 9/2a</v>
      </c>
      <c r="D130" s="13" t="str">
        <f ca="1">IFERROR(__xludf.DUMMYFUNCTION("""COMPUTED_VALUE""")," II: Python (lab), 
V. Trebiș, 145/4")</f>
        <v xml:space="preserve"> II: Python (lab), 
V. Trebiș, 145/4</v>
      </c>
      <c r="E130" s="13"/>
      <c r="F130" s="13"/>
      <c r="G130" s="14" t="str">
        <f ca="1">IFERROR(__xludf.DUMMYFUNCTION("""COMPUTED_VALUE""")," II: Rețele de calc. (lab), 
E. Cuznețov, 143/4")</f>
        <v xml:space="preserve"> II: Rețele de calc. (lab), 
E. Cuznețov, 143/4</v>
      </c>
      <c r="H130" s="12" t="str">
        <f ca="1">IFERROR(__xludf.DUMMYFUNCTION("""COMPUTED_VALUE"""),"Design UI/UX (lab), 
E. Mîndru, 350/4")</f>
        <v>Design UI/UX (lab), 
E. Mîndru, 350/4</v>
      </c>
      <c r="I130" s="13"/>
      <c r="J130" s="13"/>
      <c r="K130" s="14" t="str">
        <f ca="1">IFERROR(__xludf.DUMMYFUNCTION("""COMPUTED_VALUE"""),"GA 2D (lab), 
T. Iațîșina, 423/4")</f>
        <v>GA 2D (lab), 
T. Iațîșina, 423/4</v>
      </c>
      <c r="L130" s="12"/>
      <c r="M130" s="14"/>
      <c r="N130" s="12"/>
      <c r="O130" s="14"/>
    </row>
    <row r="131" spans="1:15" ht="39.6" x14ac:dyDescent="0.25">
      <c r="A131" s="31"/>
      <c r="B131" s="15" t="str">
        <f ca="1">IFERROR(__xludf.DUMMYFUNCTION("""COMPUTED_VALUE"""),"III
 18:30-20:00")</f>
        <v>III
 18:30-20:00</v>
      </c>
      <c r="C131" s="16" t="str">
        <f ca="1">IFERROR(__xludf.DUMMYFUNCTION("""COMPUTED_VALUE"""),"Utilizare TI (lab), C. Țurcan, 9/2a")</f>
        <v>Utilizare TI (lab), C. Țurcan, 9/2a</v>
      </c>
      <c r="D131" s="17"/>
      <c r="E131" s="17"/>
      <c r="F131" s="17"/>
      <c r="G131" s="18" t="str">
        <f ca="1">IFERROR(__xludf.DUMMYFUNCTION("""COMPUTED_VALUE""")," II: Rețele de calc. (lab), 
E. Cuznețov, 143/4")</f>
        <v xml:space="preserve"> II: Rețele de calc. (lab), 
E. Cuznețov, 143/4</v>
      </c>
      <c r="H131" s="16" t="str">
        <f ca="1">IFERROR(__xludf.DUMMYFUNCTION("""COMPUTED_VALUE"""),"Design UI/UX (lab), 
E. Mîndru, 350/4")</f>
        <v>Design UI/UX (lab), 
E. Mîndru, 350/4</v>
      </c>
      <c r="I131" s="17"/>
      <c r="J131" s="17"/>
      <c r="K131" s="18" t="str">
        <f ca="1">IFERROR(__xludf.DUMMYFUNCTION("""COMPUTED_VALUE"""),"GA 2D (lab), 
T. Iațîșina, 423/4")</f>
        <v>GA 2D (lab), 
T. Iațîșina, 423/4</v>
      </c>
      <c r="L131" s="16"/>
      <c r="M131" s="18"/>
      <c r="N131" s="16"/>
      <c r="O131" s="18"/>
    </row>
    <row r="132" spans="1:15" ht="13.2" x14ac:dyDescent="0.25">
      <c r="A132" s="27"/>
      <c r="B132" s="27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</sheetData>
  <mergeCells count="37">
    <mergeCell ref="A1:B1"/>
    <mergeCell ref="A2:B3"/>
    <mergeCell ref="C2:G2"/>
    <mergeCell ref="H2:K2"/>
    <mergeCell ref="L2:M2"/>
    <mergeCell ref="N2:O2"/>
    <mergeCell ref="A5:A7"/>
    <mergeCell ref="A8:A11"/>
    <mergeCell ref="A12:A15"/>
    <mergeCell ref="A16:A19"/>
    <mergeCell ref="A20:A23"/>
    <mergeCell ref="A24:A29"/>
    <mergeCell ref="A30:A35"/>
    <mergeCell ref="A36:A38"/>
    <mergeCell ref="A39:A42"/>
    <mergeCell ref="A43:A46"/>
    <mergeCell ref="A47:A50"/>
    <mergeCell ref="A51:A54"/>
    <mergeCell ref="A55:A60"/>
    <mergeCell ref="A61:A66"/>
    <mergeCell ref="A67:A69"/>
    <mergeCell ref="A70:A72"/>
    <mergeCell ref="A73:A75"/>
    <mergeCell ref="A76:A79"/>
    <mergeCell ref="A80:A82"/>
    <mergeCell ref="A83:A88"/>
    <mergeCell ref="A89:A94"/>
    <mergeCell ref="A95:A97"/>
    <mergeCell ref="A126:A128"/>
    <mergeCell ref="A129:A131"/>
    <mergeCell ref="A98:A100"/>
    <mergeCell ref="A101:A103"/>
    <mergeCell ref="A104:A107"/>
    <mergeCell ref="A108:A110"/>
    <mergeCell ref="A111:A116"/>
    <mergeCell ref="A117:A122"/>
    <mergeCell ref="A123:A125"/>
  </mergeCells>
  <conditionalFormatting sqref="C5:O132">
    <cfRule type="expression" dxfId="2" priority="1">
      <formula>$C$1=""</formula>
    </cfRule>
  </conditionalFormatting>
  <conditionalFormatting sqref="C5:O132">
    <cfRule type="expression" dxfId="1" priority="2">
      <formula>COUNTIF(C5,"*"&amp;$C$1&amp;"*")</formula>
    </cfRule>
  </conditionalFormatting>
  <conditionalFormatting sqref="C5:O131">
    <cfRule type="containsText" dxfId="0" priority="3" operator="containsText" text="(exam)">
      <formula>NOT(ISERROR(SEARCH(("(exam)"),(C5))))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FR_24.11-24.12.2025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Curmanschii</cp:lastModifiedBy>
  <dcterms:modified xsi:type="dcterms:W3CDTF">2026-02-21T18:42:59Z</dcterms:modified>
</cp:coreProperties>
</file>