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13_ncr:1_{0C8FDCB7-209A-4EA4-A1E9-014920D59AAF}" xr6:coauthVersionLast="47" xr6:coauthVersionMax="47" xr10:uidLastSave="{00000000-0000-0000-0000-000000000000}"/>
  <bookViews>
    <workbookView xWindow="-108" yWindow="348" windowWidth="23256" windowHeight="12720" xr2:uid="{00000000-000D-0000-FFFF-FFFF00000000}"/>
  </bookViews>
  <sheets>
    <sheet name="FR_24.11-24.12.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31" i="1" l="1"/>
  <c r="B130" i="1"/>
  <c r="B129" i="1"/>
  <c r="B128" i="1"/>
  <c r="B127" i="1"/>
  <c r="B126" i="1"/>
  <c r="A126" i="1"/>
  <c r="B125" i="1"/>
  <c r="B124" i="1"/>
  <c r="B123" i="1"/>
  <c r="B122" i="1"/>
  <c r="M121" i="1"/>
  <c r="L121" i="1"/>
  <c r="K121" i="1"/>
  <c r="J121" i="1"/>
  <c r="I121" i="1"/>
  <c r="H121" i="1"/>
  <c r="B121" i="1"/>
  <c r="B120" i="1"/>
  <c r="A120" i="1"/>
  <c r="B119" i="1"/>
  <c r="C118" i="1"/>
  <c r="B118" i="1"/>
  <c r="B117" i="1"/>
  <c r="A117" i="1"/>
  <c r="B116" i="1"/>
  <c r="L115" i="1"/>
  <c r="K115" i="1"/>
  <c r="J115" i="1"/>
  <c r="I115" i="1"/>
  <c r="H115" i="1"/>
  <c r="G115" i="1"/>
  <c r="F115" i="1"/>
  <c r="E115" i="1"/>
  <c r="D115" i="1"/>
  <c r="C115" i="1"/>
  <c r="B115" i="1"/>
  <c r="B114" i="1"/>
  <c r="B113" i="1"/>
  <c r="A113" i="1"/>
  <c r="B112" i="1"/>
  <c r="B111" i="1"/>
  <c r="B110" i="1"/>
  <c r="A110" i="1"/>
  <c r="B109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B107" i="1"/>
  <c r="A107" i="1"/>
  <c r="B106" i="1"/>
  <c r="B105" i="1"/>
  <c r="B104" i="1"/>
  <c r="A104" i="1"/>
  <c r="B102" i="1"/>
  <c r="B101" i="1"/>
  <c r="B100" i="1"/>
  <c r="B99" i="1"/>
  <c r="C98" i="1"/>
  <c r="B98" i="1"/>
  <c r="B97" i="1"/>
  <c r="A97" i="1"/>
  <c r="B96" i="1"/>
  <c r="B95" i="1"/>
  <c r="G94" i="1"/>
  <c r="B94" i="1"/>
  <c r="B93" i="1"/>
  <c r="M92" i="1"/>
  <c r="L92" i="1"/>
  <c r="K92" i="1"/>
  <c r="I92" i="1"/>
  <c r="H92" i="1"/>
  <c r="F92" i="1"/>
  <c r="E92" i="1"/>
  <c r="D92" i="1"/>
  <c r="C92" i="1"/>
  <c r="B92" i="1"/>
  <c r="B91" i="1"/>
  <c r="A91" i="1"/>
  <c r="B90" i="1"/>
  <c r="B89" i="1"/>
  <c r="B88" i="1"/>
  <c r="A88" i="1"/>
  <c r="B87" i="1"/>
  <c r="M86" i="1"/>
  <c r="L86" i="1"/>
  <c r="K86" i="1"/>
  <c r="J86" i="1"/>
  <c r="I86" i="1"/>
  <c r="H86" i="1"/>
  <c r="G86" i="1"/>
  <c r="F86" i="1"/>
  <c r="E86" i="1"/>
  <c r="D86" i="1"/>
  <c r="B86" i="1"/>
  <c r="C85" i="1"/>
  <c r="B85" i="1"/>
  <c r="B84" i="1"/>
  <c r="A84" i="1"/>
  <c r="C83" i="1"/>
  <c r="B83" i="1"/>
  <c r="C82" i="1"/>
  <c r="B82" i="1"/>
  <c r="C81" i="1"/>
  <c r="B81" i="1"/>
  <c r="A81" i="1"/>
  <c r="G80" i="1"/>
  <c r="F80" i="1"/>
  <c r="C80" i="1"/>
  <c r="B80" i="1"/>
  <c r="G79" i="1"/>
  <c r="F79" i="1"/>
  <c r="C79" i="1"/>
  <c r="B79" i="1"/>
  <c r="C78" i="1"/>
  <c r="B78" i="1"/>
  <c r="K77" i="1"/>
  <c r="J77" i="1"/>
  <c r="I77" i="1"/>
  <c r="H77" i="1"/>
  <c r="C77" i="1"/>
  <c r="B77" i="1"/>
  <c r="A77" i="1"/>
  <c r="L76" i="1"/>
  <c r="F76" i="1"/>
  <c r="C76" i="1"/>
  <c r="B76" i="1"/>
  <c r="L75" i="1"/>
  <c r="G75" i="1"/>
  <c r="F75" i="1"/>
  <c r="C75" i="1"/>
  <c r="B75" i="1"/>
  <c r="C74" i="1"/>
  <c r="B74" i="1"/>
  <c r="C73" i="1"/>
  <c r="B73" i="1"/>
  <c r="A73" i="1"/>
  <c r="L71" i="1"/>
  <c r="B71" i="1"/>
  <c r="L70" i="1"/>
  <c r="G70" i="1"/>
  <c r="B70" i="1"/>
  <c r="M69" i="1"/>
  <c r="L69" i="1"/>
  <c r="G69" i="1"/>
  <c r="B69" i="1"/>
  <c r="M68" i="1"/>
  <c r="L68" i="1"/>
  <c r="E68" i="1"/>
  <c r="B68" i="1"/>
  <c r="M67" i="1"/>
  <c r="L67" i="1"/>
  <c r="E67" i="1"/>
  <c r="B67" i="1"/>
  <c r="M66" i="1"/>
  <c r="L66" i="1"/>
  <c r="E66" i="1"/>
  <c r="B66" i="1"/>
  <c r="E65" i="1"/>
  <c r="B65" i="1"/>
  <c r="A65" i="1"/>
  <c r="L64" i="1"/>
  <c r="B64" i="1"/>
  <c r="L63" i="1"/>
  <c r="I63" i="1"/>
  <c r="G63" i="1"/>
  <c r="B63" i="1"/>
  <c r="M62" i="1"/>
  <c r="L62" i="1"/>
  <c r="K62" i="1"/>
  <c r="I62" i="1"/>
  <c r="G62" i="1"/>
  <c r="B62" i="1"/>
  <c r="M61" i="1"/>
  <c r="L61" i="1"/>
  <c r="K61" i="1"/>
  <c r="J61" i="1"/>
  <c r="I61" i="1"/>
  <c r="H61" i="1"/>
  <c r="F61" i="1"/>
  <c r="D61" i="1"/>
  <c r="B61" i="1"/>
  <c r="M60" i="1"/>
  <c r="L60" i="1"/>
  <c r="K60" i="1"/>
  <c r="J60" i="1"/>
  <c r="I60" i="1"/>
  <c r="H60" i="1"/>
  <c r="F60" i="1"/>
  <c r="D60" i="1"/>
  <c r="C60" i="1"/>
  <c r="B60" i="1"/>
  <c r="M59" i="1"/>
  <c r="L59" i="1"/>
  <c r="K59" i="1"/>
  <c r="D59" i="1"/>
  <c r="C59" i="1"/>
  <c r="B59" i="1"/>
  <c r="D58" i="1"/>
  <c r="B58" i="1"/>
  <c r="A58" i="1"/>
  <c r="M57" i="1"/>
  <c r="L57" i="1"/>
  <c r="J57" i="1"/>
  <c r="G57" i="1"/>
  <c r="F57" i="1"/>
  <c r="C57" i="1"/>
  <c r="B57" i="1"/>
  <c r="M56" i="1"/>
  <c r="L56" i="1"/>
  <c r="K56" i="1"/>
  <c r="J56" i="1"/>
  <c r="I56" i="1"/>
  <c r="H56" i="1"/>
  <c r="G56" i="1"/>
  <c r="F56" i="1"/>
  <c r="C56" i="1"/>
  <c r="B56" i="1"/>
  <c r="K55" i="1"/>
  <c r="J55" i="1"/>
  <c r="I55" i="1"/>
  <c r="H55" i="1"/>
  <c r="C55" i="1"/>
  <c r="B55" i="1"/>
  <c r="C54" i="1"/>
  <c r="B54" i="1"/>
  <c r="A54" i="1"/>
  <c r="M53" i="1"/>
  <c r="L53" i="1"/>
  <c r="J53" i="1"/>
  <c r="I53" i="1"/>
  <c r="H53" i="1"/>
  <c r="F53" i="1"/>
  <c r="E53" i="1"/>
  <c r="C53" i="1"/>
  <c r="B53" i="1"/>
  <c r="M52" i="1"/>
  <c r="L52" i="1"/>
  <c r="J52" i="1"/>
  <c r="I52" i="1"/>
  <c r="H52" i="1"/>
  <c r="F52" i="1"/>
  <c r="E52" i="1"/>
  <c r="C52" i="1"/>
  <c r="B52" i="1"/>
  <c r="L51" i="1"/>
  <c r="J51" i="1"/>
  <c r="E51" i="1"/>
  <c r="C51" i="1"/>
  <c r="B51" i="1"/>
  <c r="C50" i="1"/>
  <c r="B50" i="1"/>
  <c r="A50" i="1"/>
  <c r="M49" i="1"/>
  <c r="L49" i="1"/>
  <c r="K49" i="1"/>
  <c r="J49" i="1"/>
  <c r="H49" i="1"/>
  <c r="G49" i="1"/>
  <c r="F49" i="1"/>
  <c r="B49" i="1"/>
  <c r="M48" i="1"/>
  <c r="L48" i="1"/>
  <c r="K48" i="1"/>
  <c r="J48" i="1"/>
  <c r="H48" i="1"/>
  <c r="G48" i="1"/>
  <c r="F48" i="1"/>
  <c r="C48" i="1"/>
  <c r="B48" i="1"/>
  <c r="J47" i="1"/>
  <c r="H47" i="1"/>
  <c r="C47" i="1"/>
  <c r="B47" i="1"/>
  <c r="C46" i="1"/>
  <c r="B46" i="1"/>
  <c r="A46" i="1"/>
  <c r="L45" i="1"/>
  <c r="J45" i="1"/>
  <c r="F45" i="1"/>
  <c r="D45" i="1"/>
  <c r="C45" i="1"/>
  <c r="B45" i="1"/>
  <c r="L44" i="1"/>
  <c r="K44" i="1"/>
  <c r="J44" i="1"/>
  <c r="I44" i="1"/>
  <c r="H44" i="1"/>
  <c r="F44" i="1"/>
  <c r="D44" i="1"/>
  <c r="C44" i="1"/>
  <c r="B44" i="1"/>
  <c r="K43" i="1"/>
  <c r="J43" i="1"/>
  <c r="I43" i="1"/>
  <c r="H43" i="1"/>
  <c r="F43" i="1"/>
  <c r="D43" i="1"/>
  <c r="C43" i="1"/>
  <c r="B43" i="1"/>
  <c r="C42" i="1"/>
  <c r="B42" i="1"/>
  <c r="A42" i="1"/>
  <c r="M41" i="1"/>
  <c r="K41" i="1"/>
  <c r="J41" i="1"/>
  <c r="I41" i="1"/>
  <c r="H41" i="1"/>
  <c r="F41" i="1"/>
  <c r="E41" i="1"/>
  <c r="D41" i="1"/>
  <c r="C41" i="1"/>
  <c r="B41" i="1"/>
  <c r="M40" i="1"/>
  <c r="K40" i="1"/>
  <c r="J40" i="1"/>
  <c r="I40" i="1"/>
  <c r="H40" i="1"/>
  <c r="G40" i="1"/>
  <c r="F40" i="1"/>
  <c r="E40" i="1"/>
  <c r="D40" i="1"/>
  <c r="C40" i="1"/>
  <c r="B40" i="1"/>
  <c r="J39" i="1"/>
  <c r="I39" i="1"/>
  <c r="H39" i="1"/>
  <c r="G39" i="1"/>
  <c r="F39" i="1"/>
  <c r="E39" i="1"/>
  <c r="D39" i="1"/>
  <c r="C39" i="1"/>
  <c r="B39" i="1"/>
  <c r="C38" i="1"/>
  <c r="B38" i="1"/>
  <c r="A38" i="1"/>
  <c r="L36" i="1"/>
  <c r="G36" i="1"/>
  <c r="B36" i="1"/>
  <c r="M35" i="1"/>
  <c r="L35" i="1"/>
  <c r="G35" i="1"/>
  <c r="B35" i="1"/>
  <c r="M34" i="1"/>
  <c r="L34" i="1"/>
  <c r="E34" i="1"/>
  <c r="B34" i="1"/>
  <c r="M33" i="1"/>
  <c r="L33" i="1"/>
  <c r="E33" i="1"/>
  <c r="B33" i="1"/>
  <c r="M32" i="1"/>
  <c r="L32" i="1"/>
  <c r="E32" i="1"/>
  <c r="B32" i="1"/>
  <c r="E31" i="1"/>
  <c r="B31" i="1"/>
  <c r="A31" i="1"/>
  <c r="L30" i="1"/>
  <c r="G30" i="1"/>
  <c r="B30" i="1"/>
  <c r="M29" i="1"/>
  <c r="L29" i="1"/>
  <c r="K29" i="1"/>
  <c r="G29" i="1"/>
  <c r="B29" i="1"/>
  <c r="M28" i="1"/>
  <c r="L28" i="1"/>
  <c r="K28" i="1"/>
  <c r="F28" i="1"/>
  <c r="D28" i="1"/>
  <c r="B28" i="1"/>
  <c r="M27" i="1"/>
  <c r="L27" i="1"/>
  <c r="K27" i="1"/>
  <c r="I27" i="1"/>
  <c r="H27" i="1"/>
  <c r="F27" i="1"/>
  <c r="D27" i="1"/>
  <c r="C27" i="1"/>
  <c r="B27" i="1"/>
  <c r="M26" i="1"/>
  <c r="L26" i="1"/>
  <c r="K26" i="1"/>
  <c r="I26" i="1"/>
  <c r="H26" i="1"/>
  <c r="D26" i="1"/>
  <c r="C26" i="1"/>
  <c r="B26" i="1"/>
  <c r="D25" i="1"/>
  <c r="B25" i="1"/>
  <c r="A25" i="1"/>
  <c r="M24" i="1"/>
  <c r="L24" i="1"/>
  <c r="K24" i="1"/>
  <c r="J24" i="1"/>
  <c r="I24" i="1"/>
  <c r="H24" i="1"/>
  <c r="G24" i="1"/>
  <c r="F24" i="1"/>
  <c r="E24" i="1"/>
  <c r="C24" i="1"/>
  <c r="B24" i="1"/>
  <c r="M23" i="1"/>
  <c r="L23" i="1"/>
  <c r="K23" i="1"/>
  <c r="J23" i="1"/>
  <c r="I23" i="1"/>
  <c r="H23" i="1"/>
  <c r="G23" i="1"/>
  <c r="F23" i="1"/>
  <c r="E23" i="1"/>
  <c r="C23" i="1"/>
  <c r="B23" i="1"/>
  <c r="J22" i="1"/>
  <c r="I22" i="1"/>
  <c r="G22" i="1"/>
  <c r="E22" i="1"/>
  <c r="C22" i="1"/>
  <c r="B22" i="1"/>
  <c r="C21" i="1"/>
  <c r="B21" i="1"/>
  <c r="A21" i="1"/>
  <c r="M20" i="1"/>
  <c r="L20" i="1"/>
  <c r="K20" i="1"/>
  <c r="J20" i="1"/>
  <c r="I20" i="1"/>
  <c r="H20" i="1"/>
  <c r="G20" i="1"/>
  <c r="F20" i="1"/>
  <c r="D20" i="1"/>
  <c r="C20" i="1"/>
  <c r="B20" i="1"/>
  <c r="M19" i="1"/>
  <c r="L19" i="1"/>
  <c r="K19" i="1"/>
  <c r="J19" i="1"/>
  <c r="I19" i="1"/>
  <c r="H19" i="1"/>
  <c r="G19" i="1"/>
  <c r="F19" i="1"/>
  <c r="D19" i="1"/>
  <c r="C19" i="1"/>
  <c r="B19" i="1"/>
  <c r="J18" i="1"/>
  <c r="G18" i="1"/>
  <c r="F18" i="1"/>
  <c r="D18" i="1"/>
  <c r="C18" i="1"/>
  <c r="B18" i="1"/>
  <c r="C17" i="1"/>
  <c r="B17" i="1"/>
  <c r="A17" i="1"/>
  <c r="M16" i="1"/>
  <c r="L16" i="1"/>
  <c r="K16" i="1"/>
  <c r="J16" i="1"/>
  <c r="I16" i="1"/>
  <c r="H16" i="1"/>
  <c r="G16" i="1"/>
  <c r="F16" i="1"/>
  <c r="E16" i="1"/>
  <c r="D16" i="1"/>
  <c r="B16" i="1"/>
  <c r="M15" i="1"/>
  <c r="L15" i="1"/>
  <c r="K15" i="1"/>
  <c r="J15" i="1"/>
  <c r="I15" i="1"/>
  <c r="H15" i="1"/>
  <c r="G15" i="1"/>
  <c r="F15" i="1"/>
  <c r="E15" i="1"/>
  <c r="D15" i="1"/>
  <c r="C15" i="1"/>
  <c r="B15" i="1"/>
  <c r="J14" i="1"/>
  <c r="C14" i="1"/>
  <c r="B14" i="1"/>
  <c r="B13" i="1"/>
  <c r="A13" i="1"/>
  <c r="L12" i="1"/>
  <c r="K12" i="1"/>
  <c r="J12" i="1"/>
  <c r="I12" i="1"/>
  <c r="H12" i="1"/>
  <c r="F12" i="1"/>
  <c r="E12" i="1"/>
  <c r="D12" i="1"/>
  <c r="C12" i="1"/>
  <c r="B12" i="1"/>
  <c r="L11" i="1"/>
  <c r="K11" i="1"/>
  <c r="J11" i="1"/>
  <c r="I11" i="1"/>
  <c r="H11" i="1"/>
  <c r="F11" i="1"/>
  <c r="E11" i="1"/>
  <c r="D11" i="1"/>
  <c r="C11" i="1"/>
  <c r="B11" i="1"/>
  <c r="K10" i="1"/>
  <c r="J10" i="1"/>
  <c r="I10" i="1"/>
  <c r="H10" i="1"/>
  <c r="F10" i="1"/>
  <c r="E10" i="1"/>
  <c r="D10" i="1"/>
  <c r="C10" i="1"/>
  <c r="B10" i="1"/>
  <c r="C9" i="1"/>
  <c r="B9" i="1"/>
  <c r="A9" i="1"/>
  <c r="M8" i="1"/>
  <c r="L8" i="1"/>
  <c r="K8" i="1"/>
  <c r="J8" i="1"/>
  <c r="I8" i="1"/>
  <c r="H8" i="1"/>
  <c r="G8" i="1"/>
  <c r="F8" i="1"/>
  <c r="E8" i="1"/>
  <c r="D8" i="1"/>
  <c r="C8" i="1"/>
  <c r="B8" i="1"/>
  <c r="M7" i="1"/>
  <c r="L7" i="1"/>
  <c r="K7" i="1"/>
  <c r="J7" i="1"/>
  <c r="I7" i="1"/>
  <c r="H7" i="1"/>
  <c r="G7" i="1"/>
  <c r="F7" i="1"/>
  <c r="E7" i="1"/>
  <c r="D7" i="1"/>
  <c r="C7" i="1"/>
  <c r="B7" i="1"/>
  <c r="L6" i="1"/>
  <c r="C6" i="1"/>
  <c r="B6" i="1"/>
  <c r="C5" i="1"/>
  <c r="B5" i="1"/>
  <c r="A5" i="1"/>
  <c r="M4" i="1"/>
  <c r="L4" i="1"/>
  <c r="K4" i="1"/>
  <c r="J4" i="1"/>
  <c r="I4" i="1"/>
  <c r="H4" i="1"/>
  <c r="G4" i="1"/>
  <c r="F4" i="1"/>
  <c r="E4" i="1"/>
  <c r="D4" i="1"/>
  <c r="C4" i="1"/>
  <c r="M3" i="1"/>
  <c r="L3" i="1"/>
  <c r="K3" i="1"/>
  <c r="J3" i="1"/>
  <c r="I3" i="1"/>
  <c r="H3" i="1"/>
  <c r="G3" i="1"/>
  <c r="F3" i="1"/>
  <c r="E3" i="1"/>
  <c r="D3" i="1"/>
  <c r="C3" i="1"/>
  <c r="L2" i="1"/>
  <c r="H2" i="1"/>
  <c r="C2" i="1"/>
</calcChain>
</file>

<file path=xl/sharedStrings.xml><?xml version="1.0" encoding="utf-8"?>
<sst xmlns="http://schemas.openxmlformats.org/spreadsheetml/2006/main" count="2" uniqueCount="2">
  <si>
    <t>Căutare exactă după numele profesorului --&gt; D1</t>
  </si>
  <si>
    <t>Facultatea Matematică și Informatică
Învățămînt cu frecvență redusă
11 mai - 7 iunie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</si>
</sst>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scheme val="minor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</fills>
  <borders count="26">
    <border>
      <left/>
      <right/>
      <top/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4" fillId="0" borderId="19" xfId="0" applyFont="1" applyBorder="1"/>
    <xf numFmtId="0" fontId="4" fillId="0" borderId="20" xfId="0" applyFont="1" applyBorder="1"/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3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3" xfId="0" applyFont="1" applyBorder="1"/>
    <xf numFmtId="0" fontId="4" fillId="0" borderId="7" xfId="0" applyFont="1" applyBorder="1"/>
    <xf numFmtId="0" fontId="4" fillId="0" borderId="8" xfId="0" applyFont="1" applyBorder="1"/>
    <xf numFmtId="0" fontId="1" fillId="4" borderId="4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0" fontId="1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</font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631"/>
  <sheetViews>
    <sheetView showGridLines="0" tabSelected="1" workbookViewId="0">
      <pane xSplit="2" ySplit="3" topLeftCell="C4" activePane="bottomRight" state="frozen"/>
      <selection pane="topRight" activeCell="D1" sqref="D1"/>
      <selection pane="bottomLeft" activeCell="A4" sqref="A4"/>
      <selection pane="bottomRight" activeCell="H9" sqref="H9"/>
    </sheetView>
  </sheetViews>
  <sheetFormatPr defaultColWidth="12.6640625" defaultRowHeight="15.75" customHeight="1" x14ac:dyDescent="0.25"/>
  <cols>
    <col min="1" max="1" width="16.109375" customWidth="1"/>
    <col min="3" max="13" width="19.77734375" customWidth="1"/>
  </cols>
  <sheetData>
    <row r="1" spans="1:13" ht="14.4" thickTop="1" thickBot="1" x14ac:dyDescent="0.3">
      <c r="A1" s="39" t="s">
        <v>0</v>
      </c>
      <c r="B1" s="40"/>
      <c r="C1" s="1"/>
      <c r="D1" s="2"/>
      <c r="E1" s="41" t="s">
        <v>1</v>
      </c>
      <c r="F1" s="40"/>
      <c r="G1" s="40"/>
      <c r="H1" s="3"/>
      <c r="I1" s="3"/>
      <c r="J1" s="3"/>
      <c r="K1" s="3"/>
      <c r="L1" s="3"/>
      <c r="M1" s="3"/>
    </row>
    <row r="2" spans="1:13" ht="23.25" customHeight="1" thickTop="1" x14ac:dyDescent="0.25">
      <c r="A2" s="42"/>
      <c r="B2" s="43"/>
      <c r="C2" s="46" t="str">
        <f ca="1">IFERROR(__xludf.DUMMYFUNCTION("""COMPUTED_VALUE"""),"Anul I")</f>
        <v>Anul I</v>
      </c>
      <c r="D2" s="47"/>
      <c r="E2" s="47"/>
      <c r="F2" s="47"/>
      <c r="G2" s="48"/>
      <c r="H2" s="46" t="str">
        <f ca="1">IFERROR(__xludf.DUMMYFUNCTION("""COMPUTED_VALUE"""),"Anul II")</f>
        <v>Anul II</v>
      </c>
      <c r="I2" s="47"/>
      <c r="J2" s="47"/>
      <c r="K2" s="48"/>
      <c r="L2" s="49" t="str">
        <f ca="1">IFERROR(__xludf.DUMMYFUNCTION("""COMPUTED_VALUE"""),"Anul III")</f>
        <v>Anul III</v>
      </c>
      <c r="M2" s="48"/>
    </row>
    <row r="3" spans="1:13" ht="13.8" thickBot="1" x14ac:dyDescent="0.3">
      <c r="A3" s="44"/>
      <c r="B3" s="45"/>
      <c r="C3" s="4" t="str">
        <f ca="1">IFERROR(__xludf.DUMMYFUNCTION("""COMPUTED_VALUE"""),"MFR2501")</f>
        <v>MFR2501</v>
      </c>
      <c r="D3" s="5" t="str">
        <f ca="1">IFERROR(__xludf.DUMMYFUNCTION("""COMPUTED_VALUE"""),"IAFR2501")</f>
        <v>IAFR2501</v>
      </c>
      <c r="E3" s="5" t="str">
        <f ca="1">IFERROR(__xludf.DUMMYFUNCTION("""COMPUTED_VALUE"""),"IAFR2502")</f>
        <v>IAFR2502</v>
      </c>
      <c r="F3" s="5" t="str">
        <f ca="1">IFERROR(__xludf.DUMMYFUNCTION("""COMPUTED_VALUE"""),"IȘEFR2501")</f>
        <v>IȘEFR2501</v>
      </c>
      <c r="G3" s="6" t="str">
        <f ca="1">IFERROR(__xludf.DUMMYFUNCTION("""COMPUTED_VALUE"""),"IAFR2503 R")</f>
        <v>IAFR2503 R</v>
      </c>
      <c r="H3" s="4" t="str">
        <f ca="1">IFERROR(__xludf.DUMMYFUNCTION("""COMPUTED_VALUE"""),"IAFR2401")</f>
        <v>IAFR2401</v>
      </c>
      <c r="I3" s="5" t="str">
        <f ca="1">IFERROR(__xludf.DUMMYFUNCTION("""COMPUTED_VALUE"""),"IAFR2402")</f>
        <v>IAFR2402</v>
      </c>
      <c r="J3" s="5" t="str">
        <f ca="1">IFERROR(__xludf.DUMMYFUNCTION("""COMPUTED_VALUE"""),"IȘEFR2401")</f>
        <v>IȘEFR2401</v>
      </c>
      <c r="K3" s="6" t="str">
        <f ca="1">IFERROR(__xludf.DUMMYFUNCTION("""COMPUTED_VALUE"""),"IAFR2403 R")</f>
        <v>IAFR2403 R</v>
      </c>
      <c r="L3" s="4" t="str">
        <f ca="1">IFERROR(__xludf.DUMMYFUNCTION("""COMPUTED_VALUE"""),"IAFR2301")</f>
        <v>IAFR2301</v>
      </c>
      <c r="M3" s="6" t="str">
        <f ca="1">IFERROR(__xludf.DUMMYFUNCTION("""COMPUTED_VALUE"""),"IAFR2302 R")</f>
        <v>IAFR2302 R</v>
      </c>
    </row>
    <row r="4" spans="1:13" ht="14.4" hidden="1" thickTop="1" thickBot="1" x14ac:dyDescent="0.3">
      <c r="A4" s="7"/>
      <c r="B4" s="8"/>
      <c r="C4" s="9" t="str">
        <f ca="1">IFERROR(__xludf.DUMMYFUNCTION("""COMPUTED_VALUE"""),"3 st")</f>
        <v>3 st</v>
      </c>
      <c r="D4" s="10" t="str">
        <f ca="1">IFERROR(__xludf.DUMMYFUNCTION("""COMPUTED_VALUE"""),"21 (2 sg)")</f>
        <v>21 (2 sg)</v>
      </c>
      <c r="E4" s="10" t="str">
        <f ca="1">IFERROR(__xludf.DUMMYFUNCTION("""COMPUTED_VALUE"""),"30 (2 sg)")</f>
        <v>30 (2 sg)</v>
      </c>
      <c r="F4" s="10" t="str">
        <f ca="1">IFERROR(__xludf.DUMMYFUNCTION("""COMPUTED_VALUE"""),"14 (1 sg)")</f>
        <v>14 (1 sg)</v>
      </c>
      <c r="G4" s="8" t="str">
        <f ca="1">IFERROR(__xludf.DUMMYFUNCTION("""COMPUTED_VALUE"""),"37 (2 sg)")</f>
        <v>37 (2 sg)</v>
      </c>
      <c r="H4" s="9" t="str">
        <f ca="1">IFERROR(__xludf.DUMMYFUNCTION("""COMPUTED_VALUE"""),"20 (1 sg)")</f>
        <v>20 (1 sg)</v>
      </c>
      <c r="I4" s="10" t="str">
        <f ca="1">IFERROR(__xludf.DUMMYFUNCTION("""COMPUTED_VALUE"""),"13 (1 sg)")</f>
        <v>13 (1 sg)</v>
      </c>
      <c r="J4" s="10" t="str">
        <f ca="1">IFERROR(__xludf.DUMMYFUNCTION("""COMPUTED_VALUE"""),"5 (1 sg)")</f>
        <v>5 (1 sg)</v>
      </c>
      <c r="K4" s="8" t="str">
        <f ca="1">IFERROR(__xludf.DUMMYFUNCTION("""COMPUTED_VALUE"""),"24 (1 sg)")</f>
        <v>24 (1 sg)</v>
      </c>
      <c r="L4" s="9" t="str">
        <f ca="1">IFERROR(__xludf.DUMMYFUNCTION("""COMPUTED_VALUE"""),"37 (2 sg)")</f>
        <v>37 (2 sg)</v>
      </c>
      <c r="M4" s="8" t="str">
        <f ca="1">IFERROR(__xludf.DUMMYFUNCTION("""COMPUTED_VALUE"""),"22 (1 sg)")</f>
        <v>22 (1 sg)</v>
      </c>
    </row>
    <row r="5" spans="1:13" ht="27" thickTop="1" x14ac:dyDescent="0.25">
      <c r="A5" s="36" t="str">
        <f ca="1">IFERROR(__xludf.DUMMYFUNCTION("""COMPUTED_VALUE"""),"Luni,
11.05.2026")</f>
        <v>Luni,
11.05.2026</v>
      </c>
      <c r="B5" s="11" t="str">
        <f ca="1">IFERROR(__xludf.DUMMYFUNCTION("""COMPUTED_VALUE"""),"13:15-14:45")</f>
        <v>13:15-14:45</v>
      </c>
      <c r="C5" s="12" t="str">
        <f ca="1">IFERROR(__xludf.DUMMYFUNCTION("""COMPUTED_VALUE"""),"Utilizare TI (lab), C. Țurcan, 219/4a")</f>
        <v>Utilizare TI (lab), C. Țurcan, 219/4a</v>
      </c>
      <c r="D5" s="12"/>
      <c r="E5" s="12"/>
      <c r="F5" s="12"/>
      <c r="G5" s="13"/>
      <c r="H5" s="14"/>
      <c r="I5" s="12"/>
      <c r="J5" s="12"/>
      <c r="K5" s="13"/>
      <c r="L5" s="14"/>
      <c r="M5" s="13"/>
    </row>
    <row r="6" spans="1:13" ht="26.4" x14ac:dyDescent="0.25">
      <c r="A6" s="37"/>
      <c r="B6" s="11" t="str">
        <f ca="1">IFERROR(__xludf.DUMMYFUNCTION("""COMPUTED_VALUE""")," I
15:00-16:30")</f>
        <v xml:space="preserve"> I
15:00-16:30</v>
      </c>
      <c r="C6" s="12" t="str">
        <f ca="1">IFERROR(__xludf.DUMMYFUNCTION("""COMPUTED_VALUE"""),"Utilizare TI (lab), C. Țurcan, 219/4a")</f>
        <v>Utilizare TI (lab), C. Țurcan, 219/4a</v>
      </c>
      <c r="D6" s="12"/>
      <c r="E6" s="12"/>
      <c r="F6" s="12"/>
      <c r="G6" s="13"/>
      <c r="H6" s="14"/>
      <c r="I6" s="12"/>
      <c r="J6" s="12"/>
      <c r="K6" s="13"/>
      <c r="L6" s="14" t="str">
        <f ca="1">IFERROR(__xludf.DUMMYFUNCTION("""COMPUTED_VALUE""")," II: IA (lab), 
T. Bumbu, 143/4")</f>
        <v xml:space="preserve"> II: IA (lab), 
T. Bumbu, 143/4</v>
      </c>
      <c r="M6" s="13"/>
    </row>
    <row r="7" spans="1:13" ht="26.4" x14ac:dyDescent="0.25">
      <c r="A7" s="37"/>
      <c r="B7" s="11" t="str">
        <f ca="1">IFERROR(__xludf.DUMMYFUNCTION("""COMPUTED_VALUE""")," II
16:45-18:15")</f>
        <v xml:space="preserve"> II
16:45-18:15</v>
      </c>
      <c r="C7" s="12" t="str">
        <f ca="1">IFERROR(__xludf.DUMMYFUNCTION("""COMPUTED_VALUE"""),"Topol. teor. mas. (prel), P. Efros, 415/4")</f>
        <v>Topol. teor. mas. (prel), P. Efros, 415/4</v>
      </c>
      <c r="D7" s="12" t="str">
        <f ca="1">IFERROR(__xludf.DUMMYFUNCTION("""COMPUTED_VALUE"""),"POO (prel), 
A. Arnaut, 213a/4")</f>
        <v>POO (prel), 
A. Arnaut, 213a/4</v>
      </c>
      <c r="E7" s="12" t="str">
        <f ca="1">IFERROR(__xludf.DUMMYFUNCTION("""COMPUTED_VALUE"""),"POO (prel), 
A. Arnaut, 213a/4")</f>
        <v>POO (prel), 
A. Arnaut, 213a/4</v>
      </c>
      <c r="F7" s="12" t="str">
        <f ca="1">IFERROR(__xludf.DUMMYFUNCTION("""COMPUTED_VALUE"""),"POO (prel), 
A. Arnaut, 213a/4")</f>
        <v>POO (prel), 
A. Arnaut, 213a/4</v>
      </c>
      <c r="G7" s="13" t="str">
        <f ca="1">IFERROR(__xludf.DUMMYFUNCTION("""COMPUTED_VALUE"""),"POO (prel), 
Gh. Latul, 401/4")</f>
        <v>POO (prel), 
Gh. Latul, 401/4</v>
      </c>
      <c r="H7" s="14" t="str">
        <f ca="1">IFERROR(__xludf.DUMMYFUNCTION("""COMPUTED_VALUE"""),"Alg. str. date (prel), 
S. Corlat, 404/4")</f>
        <v>Alg. str. date (prel), 
S. Corlat, 404/4</v>
      </c>
      <c r="I7" s="12" t="str">
        <f ca="1">IFERROR(__xludf.DUMMYFUNCTION("""COMPUTED_VALUE"""),"Alg. str. date (prel), 
S. Corlat, 404/4")</f>
        <v>Alg. str. date (prel), 
S. Corlat, 404/4</v>
      </c>
      <c r="J7" s="12" t="str">
        <f ca="1">IFERROR(__xludf.DUMMYFUNCTION("""COMPUTED_VALUE"""),"Alg. str. date (prel), 
S. Corlat, 404/4")</f>
        <v>Alg. str. date (prel), 
S. Corlat, 404/4</v>
      </c>
      <c r="K7" s="13" t="str">
        <f ca="1">IFERROR(__xludf.DUMMYFUNCTION("""COMPUTED_VALUE"""),"Cript. sec.inf. (prel), 
O. Cerbu, 214/4")</f>
        <v>Cript. sec.inf. (prel), 
O. Cerbu, 214/4</v>
      </c>
      <c r="L7" s="14" t="str">
        <f ca="1">IFERROR(__xludf.DUMMYFUNCTION("""COMPUTED_VALUE"""),"IA (prel), 
T. Bumbu, 113/4")</f>
        <v>IA (prel), 
T. Bumbu, 113/4</v>
      </c>
      <c r="M7" s="13" t="str">
        <f ca="1">IFERROR(__xludf.DUMMYFUNCTION("""COMPUTED_VALUE"""),"Cloud comp. (prel), 
N. Nartea, 350/4")</f>
        <v>Cloud comp. (prel), 
N. Nartea, 350/4</v>
      </c>
    </row>
    <row r="8" spans="1:13" ht="27" thickBot="1" x14ac:dyDescent="0.3">
      <c r="A8" s="38"/>
      <c r="B8" s="4" t="str">
        <f ca="1">IFERROR(__xludf.DUMMYFUNCTION("""COMPUTED_VALUE"""),"III
18:30-20:00")</f>
        <v>III
18:30-20:00</v>
      </c>
      <c r="C8" s="15" t="str">
        <f ca="1">IFERROR(__xludf.DUMMYFUNCTION("""COMPUTED_VALUE"""),"Topol. teor. mas. (prel), P. Efros, 415/4")</f>
        <v>Topol. teor. mas. (prel), P. Efros, 415/4</v>
      </c>
      <c r="D8" s="15" t="str">
        <f ca="1">IFERROR(__xludf.DUMMYFUNCTION("""COMPUTED_VALUE"""),"POO (prel), 
A. Arnaut, 213a/4")</f>
        <v>POO (prel), 
A. Arnaut, 213a/4</v>
      </c>
      <c r="E8" s="15" t="str">
        <f ca="1">IFERROR(__xludf.DUMMYFUNCTION("""COMPUTED_VALUE"""),"POO (prel), 
A. Arnaut, 213a/4")</f>
        <v>POO (prel), 
A. Arnaut, 213a/4</v>
      </c>
      <c r="F8" s="15" t="str">
        <f ca="1">IFERROR(__xludf.DUMMYFUNCTION("""COMPUTED_VALUE"""),"POO (prel), 
A. Arnaut, 213a/4")</f>
        <v>POO (prel), 
A. Arnaut, 213a/4</v>
      </c>
      <c r="G8" s="16" t="str">
        <f ca="1">IFERROR(__xludf.DUMMYFUNCTION("""COMPUTED_VALUE"""),"POO (prel), 
Gh. Latul, 401/4")</f>
        <v>POO (prel), 
Gh. Latul, 401/4</v>
      </c>
      <c r="H8" s="17" t="str">
        <f ca="1">IFERROR(__xludf.DUMMYFUNCTION("""COMPUTED_VALUE"""),"Alg. str. date (prel), 
S. Corlat, 404/4")</f>
        <v>Alg. str. date (prel), 
S. Corlat, 404/4</v>
      </c>
      <c r="I8" s="15" t="str">
        <f ca="1">IFERROR(__xludf.DUMMYFUNCTION("""COMPUTED_VALUE"""),"Alg. str. date (prel), 
S. Corlat, 404/4")</f>
        <v>Alg. str. date (prel), 
S. Corlat, 404/4</v>
      </c>
      <c r="J8" s="15" t="str">
        <f ca="1">IFERROR(__xludf.DUMMYFUNCTION("""COMPUTED_VALUE"""),"Alg. str. date (prel), 
S. Corlat, 404/4")</f>
        <v>Alg. str. date (prel), 
S. Corlat, 404/4</v>
      </c>
      <c r="K8" s="16" t="str">
        <f ca="1">IFERROR(__xludf.DUMMYFUNCTION("""COMPUTED_VALUE"""),"Cript. sec.inf. (prel), 
O. Cerbu, 214/4")</f>
        <v>Cript. sec.inf. (prel), 
O. Cerbu, 214/4</v>
      </c>
      <c r="L8" s="17" t="str">
        <f ca="1">IFERROR(__xludf.DUMMYFUNCTION("""COMPUTED_VALUE"""),"IA (prel), 
T. Bumbu, 113/4")</f>
        <v>IA (prel), 
T. Bumbu, 113/4</v>
      </c>
      <c r="M8" s="16" t="str">
        <f ca="1">IFERROR(__xludf.DUMMYFUNCTION("""COMPUTED_VALUE"""),"Cloud comp. (prel), 
N. Nartea, 350/4")</f>
        <v>Cloud comp. (prel), 
N. Nartea, 350/4</v>
      </c>
    </row>
    <row r="9" spans="1:13" ht="27" thickTop="1" x14ac:dyDescent="0.25">
      <c r="A9" s="36" t="str">
        <f ca="1">IFERROR(__xludf.DUMMYFUNCTION("""COMPUTED_VALUE"""),"Marți,
12.05.2026")</f>
        <v>Marți,
12.05.2026</v>
      </c>
      <c r="B9" s="18" t="str">
        <f ca="1">IFERROR(__xludf.DUMMYFUNCTION("""COMPUTED_VALUE"""),"13:15-14:45")</f>
        <v>13:15-14:45</v>
      </c>
      <c r="C9" s="19" t="str">
        <f ca="1">IFERROR(__xludf.DUMMYFUNCTION("""COMPUTED_VALUE"""),"Alg. graf. (prel), A. Niculiță, 415/4")</f>
        <v>Alg. graf. (prel), A. Niculiță, 415/4</v>
      </c>
      <c r="D9" s="19"/>
      <c r="E9" s="19"/>
      <c r="F9" s="19"/>
      <c r="G9" s="20"/>
      <c r="H9" s="21"/>
      <c r="I9" s="19"/>
      <c r="J9" s="19"/>
      <c r="K9" s="20"/>
      <c r="L9" s="21"/>
      <c r="M9" s="20"/>
    </row>
    <row r="10" spans="1:13" ht="26.4" x14ac:dyDescent="0.25">
      <c r="A10" s="37"/>
      <c r="B10" s="11" t="str">
        <f ca="1">IFERROR(__xludf.DUMMYFUNCTION("""COMPUTED_VALUE""")," I
15:00-16:30")</f>
        <v xml:space="preserve"> I
15:00-16:30</v>
      </c>
      <c r="C10" s="12" t="str">
        <f ca="1">IFERROR(__xludf.DUMMYFUNCTION("""COMPUTED_VALUE"""),"Alg. graf. (prel), A. Niculiță, 415/4")</f>
        <v>Alg. graf. (prel), A. Niculiță, 415/4</v>
      </c>
      <c r="D10" s="12" t="str">
        <f ca="1">IFERROR(__xludf.DUMMYFUNCTION("""COMPUTED_VALUE"""),"Javascript (prel), 
A. Donu, 213a/4")</f>
        <v>Javascript (prel), 
A. Donu, 213a/4</v>
      </c>
      <c r="E10" s="12" t="str">
        <f ca="1">IFERROR(__xludf.DUMMYFUNCTION("""COMPUTED_VALUE"""),"Javascript (prel), 
A. Donu, 213a/4")</f>
        <v>Javascript (prel), 
A. Donu, 213a/4</v>
      </c>
      <c r="F10" s="12" t="str">
        <f ca="1">IFERROR(__xludf.DUMMYFUNCTION("""COMPUTED_VALUE"""),"Psih. (prel), V. Miron, 419/4")</f>
        <v>Psih. (prel), V. Miron, 419/4</v>
      </c>
      <c r="G10" s="13"/>
      <c r="H10" s="14" t="str">
        <f ca="1">IFERROR(__xludf.DUMMYFUNCTION("""COMPUTED_VALUE"""),"Politologie (prel), 
 R. Svetlicinîi, 407/4")</f>
        <v>Politologie (prel), 
 R. Svetlicinîi, 407/4</v>
      </c>
      <c r="I10" s="12" t="str">
        <f ca="1">IFERROR(__xludf.DUMMYFUNCTION("""COMPUTED_VALUE"""),"Politologie (prel), 
 R. Svetlicinîi, 407/4")</f>
        <v>Politologie (prel), 
 R. Svetlicinîi, 407/4</v>
      </c>
      <c r="J10" s="12" t="str">
        <f ca="1">IFERROR(__xludf.DUMMYFUNCTION("""COMPUTED_VALUE"""),"Politologie (prel), 
 R. Svetlicinîi, 407/4")</f>
        <v>Politologie (prel), 
 R. Svetlicinîi, 407/4</v>
      </c>
      <c r="K10" s="13" t="str">
        <f ca="1">IFERROR(__xludf.DUMMYFUNCTION("""COMPUTED_VALUE"""),"Politologie (prel), 
 T. Turco, 214/4")</f>
        <v>Politologie (prel), 
 T. Turco, 214/4</v>
      </c>
      <c r="L10" s="14"/>
      <c r="M10" s="13"/>
    </row>
    <row r="11" spans="1:13" ht="26.4" x14ac:dyDescent="0.25">
      <c r="A11" s="37"/>
      <c r="B11" s="11" t="str">
        <f ca="1">IFERROR(__xludf.DUMMYFUNCTION("""COMPUTED_VALUE"""),"II
16:45-18:15")</f>
        <v>II
16:45-18:15</v>
      </c>
      <c r="C11" s="12" t="str">
        <f ca="1">IFERROR(__xludf.DUMMYFUNCTION("""COMPUTED_VALUE"""),"Python (prel), B. Hâncu, 239/4")</f>
        <v>Python (prel), B. Hâncu, 239/4</v>
      </c>
      <c r="D11" s="12" t="str">
        <f ca="1">IFERROR(__xludf.DUMMYFUNCTION("""COMPUTED_VALUE"""),"Javascript (prel), 
A. Donu, 213a/4")</f>
        <v>Javascript (prel), 
A. Donu, 213a/4</v>
      </c>
      <c r="E11" s="12" t="str">
        <f ca="1">IFERROR(__xludf.DUMMYFUNCTION("""COMPUTED_VALUE"""),"Javascript (prel), 
A. Donu, 213a/4")</f>
        <v>Javascript (prel), 
A. Donu, 213a/4</v>
      </c>
      <c r="F11" s="12" t="str">
        <f ca="1">IFERROR(__xludf.DUMMYFUNCTION("""COMPUTED_VALUE"""),"Psih. (prel), V. Miron, 419/4")</f>
        <v>Psih. (prel), V. Miron, 419/4</v>
      </c>
      <c r="G11" s="13"/>
      <c r="H11" s="14" t="str">
        <f ca="1">IFERROR(__xludf.DUMMYFUNCTION("""COMPUTED_VALUE"""),"Cript. sec.inf. (prel), 
O. Cerbu, 404/4")</f>
        <v>Cript. sec.inf. (prel), 
O. Cerbu, 404/4</v>
      </c>
      <c r="I11" s="12" t="str">
        <f ca="1">IFERROR(__xludf.DUMMYFUNCTION("""COMPUTED_VALUE"""),"Cript. sec.inf. (prel), 
O. Cerbu, 404/4")</f>
        <v>Cript. sec.inf. (prel), 
O. Cerbu, 404/4</v>
      </c>
      <c r="J11" s="12" t="str">
        <f ca="1">IFERROR(__xludf.DUMMYFUNCTION("""COMPUTED_VALUE"""),"Pedagogie (prel), 
V. Clichici, 415/4")</f>
        <v>Pedagogie (prel), 
V. Clichici, 415/4</v>
      </c>
      <c r="K11" s="13" t="str">
        <f ca="1">IFERROR(__xludf.DUMMYFUNCTION("""COMPUTED_VALUE"""),"Alg. str. date (prel), 
S. Corlat, 214/4")</f>
        <v>Alg. str. date (prel), 
S. Corlat, 214/4</v>
      </c>
      <c r="L11" s="14" t="str">
        <f ca="1">IFERROR(__xludf.DUMMYFUNCTION("""COMPUTED_VALUE"""),"Spring (prel), 
M. Dodi, 401/4")</f>
        <v>Spring (prel), 
M. Dodi, 401/4</v>
      </c>
      <c r="M11" s="13"/>
    </row>
    <row r="12" spans="1:13" ht="27" thickBot="1" x14ac:dyDescent="0.3">
      <c r="A12" s="38"/>
      <c r="B12" s="4" t="str">
        <f ca="1">IFERROR(__xludf.DUMMYFUNCTION("""COMPUTED_VALUE""")," III
18:30-20:00")</f>
        <v xml:space="preserve"> III
18:30-20:00</v>
      </c>
      <c r="C12" s="15" t="str">
        <f ca="1">IFERROR(__xludf.DUMMYFUNCTION("""COMPUTED_VALUE"""),"Python (prel), B. Hâncu, 239/4")</f>
        <v>Python (prel), B. Hâncu, 239/4</v>
      </c>
      <c r="D12" s="15" t="str">
        <f ca="1">IFERROR(__xludf.DUMMYFUNCTION("""COMPUTED_VALUE"""),"Rețele de calc. (prel), 
I. Tican, 213a/4")</f>
        <v>Rețele de calc. (prel), 
I. Tican, 213a/4</v>
      </c>
      <c r="E12" s="15" t="str">
        <f ca="1">IFERROR(__xludf.DUMMYFUNCTION("""COMPUTED_VALUE"""),"Rețele de calc. (prel), 
I. Tican, 213a/4")</f>
        <v>Rețele de calc. (prel), 
I. Tican, 213a/4</v>
      </c>
      <c r="F12" s="15" t="str">
        <f ca="1">IFERROR(__xludf.DUMMYFUNCTION("""COMPUTED_VALUE"""),"Rețele de calc. (prel), 
I. Tican, 213a/4")</f>
        <v>Rețele de calc. (prel), 
I. Tican, 213a/4</v>
      </c>
      <c r="G12" s="16"/>
      <c r="H12" s="17" t="str">
        <f ca="1">IFERROR(__xludf.DUMMYFUNCTION("""COMPUTED_VALUE"""),"Cript. sec.inf. (prel), 
O. Cerbu, 404/4")</f>
        <v>Cript. sec.inf. (prel), 
O. Cerbu, 404/4</v>
      </c>
      <c r="I12" s="15" t="str">
        <f ca="1">IFERROR(__xludf.DUMMYFUNCTION("""COMPUTED_VALUE"""),"Cript. sec.inf. (prel), 
O. Cerbu, 404/4")</f>
        <v>Cript. sec.inf. (prel), 
O. Cerbu, 404/4</v>
      </c>
      <c r="J12" s="15" t="str">
        <f ca="1">IFERROR(__xludf.DUMMYFUNCTION("""COMPUTED_VALUE"""),"Pedagogie (prel), 
V. Clichici, 415/4")</f>
        <v>Pedagogie (prel), 
V. Clichici, 415/4</v>
      </c>
      <c r="K12" s="16" t="str">
        <f ca="1">IFERROR(__xludf.DUMMYFUNCTION("""COMPUTED_VALUE"""),"Alg. str. date (prel), 
S. Corlat, 214/4")</f>
        <v>Alg. str. date (prel), 
S. Corlat, 214/4</v>
      </c>
      <c r="L12" s="17" t="str">
        <f ca="1">IFERROR(__xludf.DUMMYFUNCTION("""COMPUTED_VALUE"""),"Spring (prel), 
M. Dodi, 401/4")</f>
        <v>Spring (prel), 
M. Dodi, 401/4</v>
      </c>
      <c r="M12" s="16"/>
    </row>
    <row r="13" spans="1:13" ht="13.8" thickTop="1" x14ac:dyDescent="0.25">
      <c r="A13" s="36" t="str">
        <f ca="1">IFERROR(__xludf.DUMMYFUNCTION("""COMPUTED_VALUE"""),"Miercuri,
13.05.2026")</f>
        <v>Miercuri,
13.05.2026</v>
      </c>
      <c r="B13" s="18" t="str">
        <f ca="1">IFERROR(__xludf.DUMMYFUNCTION("""COMPUTED_VALUE"""),"13:15-14:45")</f>
        <v>13:15-14:45</v>
      </c>
      <c r="C13" s="19"/>
      <c r="D13" s="19"/>
      <c r="E13" s="19"/>
      <c r="F13" s="19"/>
      <c r="G13" s="20"/>
      <c r="H13" s="21"/>
      <c r="I13" s="19"/>
      <c r="J13" s="19"/>
      <c r="K13" s="20"/>
      <c r="L13" s="21"/>
      <c r="M13" s="20"/>
    </row>
    <row r="14" spans="1:13" ht="26.4" x14ac:dyDescent="0.25">
      <c r="A14" s="37"/>
      <c r="B14" s="11" t="str">
        <f ca="1">IFERROR(__xludf.DUMMYFUNCTION("""COMPUTED_VALUE""")," I
15:00-16:30")</f>
        <v xml:space="preserve"> I
15:00-16:30</v>
      </c>
      <c r="C14" s="12" t="str">
        <f ca="1">IFERROR(__xludf.DUMMYFUNCTION("""COMPUTED_VALUE"""),"Analiza matem. (prel), V. Guțu, 415/4")</f>
        <v>Analiza matem. (prel), V. Guțu, 415/4</v>
      </c>
      <c r="D14" s="12"/>
      <c r="E14" s="12"/>
      <c r="F14" s="12"/>
      <c r="G14" s="13"/>
      <c r="H14" s="14"/>
      <c r="I14" s="12"/>
      <c r="J14" s="12" t="str">
        <f ca="1">IFERROR(__xludf.DUMMYFUNCTION("""COMPUTED_VALUE"""),"Ed. compl. (prel), 
M. Valic, 218/4")</f>
        <v>Ed. compl. (prel), 
M. Valic, 218/4</v>
      </c>
      <c r="K14" s="13"/>
      <c r="L14" s="14"/>
      <c r="M14" s="13"/>
    </row>
    <row r="15" spans="1:13" ht="26.4" x14ac:dyDescent="0.25">
      <c r="A15" s="37"/>
      <c r="B15" s="11" t="str">
        <f ca="1">IFERROR(__xludf.DUMMYFUNCTION("""COMPUTED_VALUE""")," II
16:45-18:15")</f>
        <v xml:space="preserve"> II
16:45-18:15</v>
      </c>
      <c r="C15" s="12" t="str">
        <f ca="1">IFERROR(__xludf.DUMMYFUNCTION("""COMPUTED_VALUE"""),"Analiza matem. (prel), V. Guțu, 415/4")</f>
        <v>Analiza matem. (prel), V. Guțu, 415/4</v>
      </c>
      <c r="D15" s="12" t="str">
        <f ca="1">IFERROR(__xludf.DUMMYFUNCTION("""COMPUTED_VALUE"""),"Python (prel), 
V. Trebiș, 213a/4")</f>
        <v>Python (prel), 
V. Trebiș, 213a/4</v>
      </c>
      <c r="E15" s="12" t="str">
        <f ca="1">IFERROR(__xludf.DUMMYFUNCTION("""COMPUTED_VALUE"""),"Python (prel), 
V. Trebiș, 213a/4")</f>
        <v>Python (prel), 
V. Trebiș, 213a/4</v>
      </c>
      <c r="F15" s="12" t="str">
        <f ca="1">IFERROR(__xludf.DUMMYFUNCTION("""COMPUTED_VALUE"""),"Psih. v. (prel), V. Miron, 419/4")</f>
        <v>Psih. v. (prel), V. Miron, 419/4</v>
      </c>
      <c r="G15" s="13" t="str">
        <f ca="1">IFERROR(__xludf.DUMMYFUNCTION("""COMPUTED_VALUE"""),"Javascript (prel), 
N. Nartea, 214/4")</f>
        <v>Javascript (prel), 
N. Nartea, 214/4</v>
      </c>
      <c r="H15" s="14" t="str">
        <f ca="1">IFERROR(__xludf.DUMMYFUNCTION("""COMPUTED_VALUE"""),"GA 2D (prel), 
A. Șchiopu, 404/4")</f>
        <v>GA 2D (prel), 
A. Șchiopu, 404/4</v>
      </c>
      <c r="I15" s="12" t="str">
        <f ca="1">IFERROR(__xludf.DUMMYFUNCTION("""COMPUTED_VALUE"""),"GA 2D (prel), 
A. Șchiopu, 404/4")</f>
        <v>GA 2D (prel), 
A. Șchiopu, 404/4</v>
      </c>
      <c r="J15" s="12" t="str">
        <f ca="1">IFERROR(__xludf.DUMMYFUNCTION("""COMPUTED_VALUE"""),"Pedagogie (sem), 
V. Clichici, 218/4")</f>
        <v>Pedagogie (sem), 
V. Clichici, 218/4</v>
      </c>
      <c r="K15" s="13" t="str">
        <f ca="1">IFERROR(__xludf.DUMMYFUNCTION("""COMPUTED_VALUE"""),"Proiect. SI. (prel), 
A. Gladei, 401/4")</f>
        <v>Proiect. SI. (prel), 
A. Gladei, 401/4</v>
      </c>
      <c r="L15" s="14" t="str">
        <f ca="1">IFERROR(__xludf.DUMMYFUNCTION("""COMPUTED_VALUE"""),"Dezv. apl. mob. (prel), 
C. Crudu, 113/4")</f>
        <v>Dezv. apl. mob. (prel), 
C. Crudu, 113/4</v>
      </c>
      <c r="M15" s="13" t="str">
        <f ca="1">IFERROR(__xludf.DUMMYFUNCTION("""COMPUTED_VALUE"""),"Design soft. (prel), 
A. Curmanschii, 222/4")</f>
        <v>Design soft. (prel), 
A. Curmanschii, 222/4</v>
      </c>
    </row>
    <row r="16" spans="1:13" ht="27" thickBot="1" x14ac:dyDescent="0.3">
      <c r="A16" s="38"/>
      <c r="B16" s="4" t="str">
        <f ca="1">IFERROR(__xludf.DUMMYFUNCTION("""COMPUTED_VALUE"""),"III
 18:30-20:00")</f>
        <v>III
 18:30-20:00</v>
      </c>
      <c r="C16" s="15"/>
      <c r="D16" s="15" t="str">
        <f ca="1">IFERROR(__xludf.DUMMYFUNCTION("""COMPUTED_VALUE"""),"Python (prel), 
V. Trebiș, 213a/4")</f>
        <v>Python (prel), 
V. Trebiș, 213a/4</v>
      </c>
      <c r="E16" s="15" t="str">
        <f ca="1">IFERROR(__xludf.DUMMYFUNCTION("""COMPUTED_VALUE"""),"Python (prel), 
V. Trebiș, 213a/4")</f>
        <v>Python (prel), 
V. Trebiș, 213a/4</v>
      </c>
      <c r="F16" s="15" t="str">
        <f ca="1">IFERROR(__xludf.DUMMYFUNCTION("""COMPUTED_VALUE"""),"Psih. v. (prel), V. Miron, 419/4")</f>
        <v>Psih. v. (prel), V. Miron, 419/4</v>
      </c>
      <c r="G16" s="16" t="str">
        <f ca="1">IFERROR(__xludf.DUMMYFUNCTION("""COMPUTED_VALUE"""),"Javascript (prel), 
N. Nartea, 214/4")</f>
        <v>Javascript (prel), 
N. Nartea, 214/4</v>
      </c>
      <c r="H16" s="17" t="str">
        <f ca="1">IFERROR(__xludf.DUMMYFUNCTION("""COMPUTED_VALUE"""),"GA 2D (prel), 
A. Șchiopu, 404/4")</f>
        <v>GA 2D (prel), 
A. Șchiopu, 404/4</v>
      </c>
      <c r="I16" s="15" t="str">
        <f ca="1">IFERROR(__xludf.DUMMYFUNCTION("""COMPUTED_VALUE"""),"GA 2D (prel), 
A. Șchiopu, 404/4")</f>
        <v>GA 2D (prel), 
A. Șchiopu, 404/4</v>
      </c>
      <c r="J16" s="15" t="str">
        <f ca="1">IFERROR(__xludf.DUMMYFUNCTION("""COMPUTED_VALUE"""),"Pedagogie (sem), 
V. Clichici, 218/4")</f>
        <v>Pedagogie (sem), 
V. Clichici, 218/4</v>
      </c>
      <c r="K16" s="16" t="str">
        <f ca="1">IFERROR(__xludf.DUMMYFUNCTION("""COMPUTED_VALUE"""),"Proiect. SI. (prel), 
A. Gladei, 401/4")</f>
        <v>Proiect. SI. (prel), 
A. Gladei, 401/4</v>
      </c>
      <c r="L16" s="17" t="str">
        <f ca="1">IFERROR(__xludf.DUMMYFUNCTION("""COMPUTED_VALUE"""),"Dezv. apl. mob. (prel), 
C. Crudu, 113/4")</f>
        <v>Dezv. apl. mob. (prel), 
C. Crudu, 113/4</v>
      </c>
      <c r="M16" s="16" t="str">
        <f ca="1">IFERROR(__xludf.DUMMYFUNCTION("""COMPUTED_VALUE"""),"Design soft. (prel), 
A. Curmanschii, 222/4")</f>
        <v>Design soft. (prel), 
A. Curmanschii, 222/4</v>
      </c>
    </row>
    <row r="17" spans="1:13" ht="27" thickTop="1" x14ac:dyDescent="0.25">
      <c r="A17" s="36" t="str">
        <f ca="1">IFERROR(__xludf.DUMMYFUNCTION("""COMPUTED_VALUE"""),"Joi,
14.05.2026")</f>
        <v>Joi,
14.05.2026</v>
      </c>
      <c r="B17" s="18" t="str">
        <f ca="1">IFERROR(__xludf.DUMMYFUNCTION("""COMPUTED_VALUE"""),"13:15-14:45")</f>
        <v>13:15-14:45</v>
      </c>
      <c r="C17" s="19" t="str">
        <f ca="1">IFERROR(__xludf.DUMMYFUNCTION("""COMPUTED_VALUE"""),"Python (lab), B. Hâncu, 239/4")</f>
        <v>Python (lab), B. Hâncu, 239/4</v>
      </c>
      <c r="D17" s="19"/>
      <c r="E17" s="19"/>
      <c r="F17" s="19"/>
      <c r="G17" s="20"/>
      <c r="H17" s="21"/>
      <c r="I17" s="19"/>
      <c r="J17" s="19"/>
      <c r="K17" s="20"/>
      <c r="L17" s="21"/>
      <c r="M17" s="20"/>
    </row>
    <row r="18" spans="1:13" ht="52.8" x14ac:dyDescent="0.25">
      <c r="A18" s="37"/>
      <c r="B18" s="11" t="str">
        <f ca="1">IFERROR(__xludf.DUMMYFUNCTION("""COMPUTED_VALUE""")," I
15:00-16:30")</f>
        <v xml:space="preserve"> I
15:00-16:30</v>
      </c>
      <c r="C18" s="12" t="str">
        <f ca="1">IFERROR(__xludf.DUMMYFUNCTION("""COMPUTED_VALUE"""),"Python (lab), B. Hâncu, 239/4")</f>
        <v>Python (lab), B. Hâncu, 239/4</v>
      </c>
      <c r="D18" s="12" t="str">
        <f ca="1">IFERROR(__xludf.DUMMYFUNCTION("""COMPUTED_VALUE""")," I: Javascript (lab), 
A. Donu, 218/4a
 II: POO (lab), 
A. Arnaut, 219/4a")</f>
        <v xml:space="preserve"> I: Javascript (lab), 
A. Donu, 218/4a
 II: POO (lab), 
A. Arnaut, 219/4a</v>
      </c>
      <c r="E18" s="12"/>
      <c r="F18" s="12" t="str">
        <f ca="1">IFERROR(__xludf.DUMMYFUNCTION("""COMPUTED_VALUE"""),"POO (lab), 
A. Arnaut, 219/4a")</f>
        <v>POO (lab), 
A. Arnaut, 219/4a</v>
      </c>
      <c r="G18" s="13" t="str">
        <f ca="1">IFERROR(__xludf.DUMMYFUNCTION("""COMPUTED_VALUE"""),"Python (prel), 
V. Trebiș, 114/4")</f>
        <v>Python (prel), 
V. Trebiș, 114/4</v>
      </c>
      <c r="H18" s="14"/>
      <c r="I18" s="12"/>
      <c r="J18" s="12" t="str">
        <f ca="1">IFERROR(__xludf.DUMMYFUNCTION("""COMPUTED_VALUE"""),"Pedagogie (sem), 
V. Clichici, 213a/4")</f>
        <v>Pedagogie (sem), 
V. Clichici, 213a/4</v>
      </c>
      <c r="K18" s="13"/>
      <c r="L18" s="14"/>
      <c r="M18" s="13"/>
    </row>
    <row r="19" spans="1:13" ht="52.8" x14ac:dyDescent="0.25">
      <c r="A19" s="37"/>
      <c r="B19" s="11" t="str">
        <f ca="1">IFERROR(__xludf.DUMMYFUNCTION("""COMPUTED_VALUE"""),"II
 16:45-18:15")</f>
        <v>II
 16:45-18:15</v>
      </c>
      <c r="C19" s="12" t="str">
        <f ca="1">IFERROR(__xludf.DUMMYFUNCTION("""COMPUTED_VALUE"""),"Topol. teor. mas. (sem), P. Efros, 415/4")</f>
        <v>Topol. teor. mas. (sem), P. Efros, 415/4</v>
      </c>
      <c r="D19" s="12" t="str">
        <f ca="1">IFERROR(__xludf.DUMMYFUNCTION("""COMPUTED_VALUE""")," I: POO (lab), 
A. Arnaut, 
 II: Javascript (lab), 
A. Donu, 218/4a")</f>
        <v xml:space="preserve"> I: POO (lab), 
A. Arnaut, 
 II: Javascript (lab), 
A. Donu, 218/4a</v>
      </c>
      <c r="E19" s="12"/>
      <c r="F19" s="12" t="str">
        <f ca="1">IFERROR(__xludf.DUMMYFUNCTION("""COMPUTED_VALUE"""),"Psih. (sem), V. Miron, 419/4")</f>
        <v>Psih. (sem), V. Miron, 419/4</v>
      </c>
      <c r="G19" s="13" t="str">
        <f ca="1">IFERROR(__xludf.DUMMYFUNCTION("""COMPUTED_VALUE"""),"Python (prel), 
V. Trebiș, 113/4")</f>
        <v>Python (prel), 
V. Trebiș, 113/4</v>
      </c>
      <c r="H19" s="14" t="str">
        <f ca="1">IFERROR(__xludf.DUMMYFUNCTION("""COMPUTED_VALUE"""),"Proiect. SI. (prel), 
A. Gladei, 213a/4")</f>
        <v>Proiect. SI. (prel), 
A. Gladei, 213a/4</v>
      </c>
      <c r="I19" s="12" t="str">
        <f ca="1">IFERROR(__xludf.DUMMYFUNCTION("""COMPUTED_VALUE"""),"Proiect. SI. (prel), 
A. Gladei, 213a/4")</f>
        <v>Proiect. SI. (prel), 
A. Gladei, 213a/4</v>
      </c>
      <c r="J19" s="12" t="str">
        <f ca="1">IFERROR(__xludf.DUMMYFUNCTION("""COMPUTED_VALUE"""),"Proiect. SI. (prel), 
A. Gladei, 213a/4")</f>
        <v>Proiect. SI. (prel), 
A. Gladei, 213a/4</v>
      </c>
      <c r="K19" s="13" t="str">
        <f ca="1">IFERROR(__xludf.DUMMYFUNCTION("""COMPUTED_VALUE"""),"Cript. sec.inf. (lab), 
O. Cerbu, 216a/4a")</f>
        <v>Cript. sec.inf. (lab), 
O. Cerbu, 216a/4a</v>
      </c>
      <c r="L19" s="14" t="str">
        <f ca="1">IFERROR(__xludf.DUMMYFUNCTION("""COMPUTED_VALUE"""),"Dezv. apl. mob. (lab), 
C. Crudu, 423/4")</f>
        <v>Dezv. apl. mob. (lab), 
C. Crudu, 423/4</v>
      </c>
      <c r="M19" s="13" t="str">
        <f ca="1">IFERROR(__xludf.DUMMYFUNCTION("""COMPUTED_VALUE"""),"Cloud comp. (lab), 
N. Nartea, 350/4")</f>
        <v>Cloud comp. (lab), 
N. Nartea, 350/4</v>
      </c>
    </row>
    <row r="20" spans="1:13" ht="53.4" thickBot="1" x14ac:dyDescent="0.3">
      <c r="A20" s="38"/>
      <c r="B20" s="4" t="str">
        <f ca="1">IFERROR(__xludf.DUMMYFUNCTION("""COMPUTED_VALUE"""),"III
 18:30-20:00")</f>
        <v>III
 18:30-20:00</v>
      </c>
      <c r="C20" s="15" t="str">
        <f ca="1">IFERROR(__xludf.DUMMYFUNCTION("""COMPUTED_VALUE"""),"Topol. teor. mas. (sem), P. Efros, 415/4")</f>
        <v>Topol. teor. mas. (sem), P. Efros, 415/4</v>
      </c>
      <c r="D20" s="15" t="str">
        <f ca="1">IFERROR(__xludf.DUMMYFUNCTION("""COMPUTED_VALUE""")," I: POO (lab), 
A. Arnaut, 219/4a
 II: Javascript (lab), 
A. Donu, 218/4a")</f>
        <v xml:space="preserve"> I: POO (lab), 
A. Arnaut, 219/4a
 II: Javascript (lab), 
A. Donu, 218/4a</v>
      </c>
      <c r="E20" s="15"/>
      <c r="F20" s="15" t="str">
        <f ca="1">IFERROR(__xludf.DUMMYFUNCTION("""COMPUTED_VALUE"""),"Psih. (sem), V. Miron, 419/4")</f>
        <v>Psih. (sem), V. Miron, 419/4</v>
      </c>
      <c r="G20" s="16" t="str">
        <f ca="1">IFERROR(__xludf.DUMMYFUNCTION("""COMPUTED_VALUE"""),"Rețele de calc. (prel), 
I. Tican, 113/4")</f>
        <v>Rețele de calc. (prel), 
I. Tican, 113/4</v>
      </c>
      <c r="H20" s="17" t="str">
        <f ca="1">IFERROR(__xludf.DUMMYFUNCTION("""COMPUTED_VALUE"""),"Proiect. SI. (prel), 
A. Gladei, 213a/4")</f>
        <v>Proiect. SI. (prel), 
A. Gladei, 213a/4</v>
      </c>
      <c r="I20" s="15" t="str">
        <f ca="1">IFERROR(__xludf.DUMMYFUNCTION("""COMPUTED_VALUE"""),"Proiect. SI. (prel), 
A. Gladei, 213a/4")</f>
        <v>Proiect. SI. (prel), 
A. Gladei, 213a/4</v>
      </c>
      <c r="J20" s="15" t="str">
        <f ca="1">IFERROR(__xludf.DUMMYFUNCTION("""COMPUTED_VALUE"""),"Proiect. SI. (prel), 
A. Gladei, 213a/4")</f>
        <v>Proiect. SI. (prel), 
A. Gladei, 213a/4</v>
      </c>
      <c r="K20" s="16" t="str">
        <f ca="1">IFERROR(__xludf.DUMMYFUNCTION("""COMPUTED_VALUE"""),"Cript. sec.inf. (lab), 
O. Cerbu, 216a/4a")</f>
        <v>Cript. sec.inf. (lab), 
O. Cerbu, 216a/4a</v>
      </c>
      <c r="L20" s="17" t="str">
        <f ca="1">IFERROR(__xludf.DUMMYFUNCTION("""COMPUTED_VALUE"""),"Dezv. apl. mob. (lab), 
C. Crudu, 423/4")</f>
        <v>Dezv. apl. mob. (lab), 
C. Crudu, 423/4</v>
      </c>
      <c r="M20" s="16" t="str">
        <f ca="1">IFERROR(__xludf.DUMMYFUNCTION("""COMPUTED_VALUE"""),"Cloud comp. (lab), 
N. Nartea, 350/4")</f>
        <v>Cloud comp. (lab), 
N. Nartea, 350/4</v>
      </c>
    </row>
    <row r="21" spans="1:13" ht="27" thickTop="1" x14ac:dyDescent="0.25">
      <c r="A21" s="36" t="str">
        <f ca="1">IFERROR(__xludf.DUMMYFUNCTION("""COMPUTED_VALUE"""),"Vineri,
15.05.2026")</f>
        <v>Vineri,
15.05.2026</v>
      </c>
      <c r="B21" s="18" t="str">
        <f ca="1">IFERROR(__xludf.DUMMYFUNCTION("""COMPUTED_VALUE"""),"13:15-14:45")</f>
        <v>13:15-14:45</v>
      </c>
      <c r="C21" s="19" t="str">
        <f ca="1">IFERROR(__xludf.DUMMYFUNCTION("""COMPUTED_VALUE"""),"Analiza matem. (sem), V. Guțu, 415/4")</f>
        <v>Analiza matem. (sem), V. Guțu, 415/4</v>
      </c>
      <c r="D21" s="19"/>
      <c r="E21" s="19"/>
      <c r="F21" s="19"/>
      <c r="G21" s="20"/>
      <c r="H21" s="21"/>
      <c r="I21" s="19"/>
      <c r="J21" s="19"/>
      <c r="K21" s="20"/>
      <c r="L21" s="21"/>
      <c r="M21" s="20"/>
    </row>
    <row r="22" spans="1:13" ht="52.8" x14ac:dyDescent="0.25">
      <c r="A22" s="37"/>
      <c r="B22" s="11" t="str">
        <f ca="1">IFERROR(__xludf.DUMMYFUNCTION("""COMPUTED_VALUE""")," I
15:00-16:30")</f>
        <v xml:space="preserve"> I
15:00-16:30</v>
      </c>
      <c r="C22" s="12" t="str">
        <f ca="1">IFERROR(__xludf.DUMMYFUNCTION("""COMPUTED_VALUE"""),"Analiza matem. (sem), V. Guțu, 415/4")</f>
        <v>Analiza matem. (sem), V. Guțu, 415/4</v>
      </c>
      <c r="D22" s="12"/>
      <c r="E22" s="12" t="str">
        <f ca="1">IFERROR(__xludf.DUMMYFUNCTION("""COMPUTED_VALUE""")," I: Javascript (lab), 
A. Donu, 218/4a
 II: POO (lab), 
A. Arnaut, 219/4a")</f>
        <v xml:space="preserve"> I: Javascript (lab), 
A. Donu, 218/4a
 II: POO (lab), 
A. Arnaut, 219/4a</v>
      </c>
      <c r="F22" s="12"/>
      <c r="G22" s="13" t="str">
        <f ca="1">IFERROR(__xludf.DUMMYFUNCTION("""COMPUTED_VALUE""")," I: POO (lab), 
Gh. Latul, 145a/4
 II. Javascript (lab), 
N. Nartea, 145/4")</f>
        <v xml:space="preserve"> I: POO (lab), 
Gh. Latul, 145a/4
 II. Javascript (lab), 
N. Nartea, 145/4</v>
      </c>
      <c r="H22" s="14"/>
      <c r="I22" s="12" t="str">
        <f ca="1">IFERROR(__xludf.DUMMYFUNCTION("""COMPUTED_VALUE"""),"Alg. str. date (lab), 
O. Cerbu, 216a/4a")</f>
        <v>Alg. str. date (lab), 
O. Cerbu, 216a/4a</v>
      </c>
      <c r="J22" s="12" t="str">
        <f ca="1">IFERROR(__xludf.DUMMYFUNCTION("""COMPUTED_VALUE"""),"Alg. str. date (lab), 
O. Cerbu, 216a/4a")</f>
        <v>Alg. str. date (lab), 
O. Cerbu, 216a/4a</v>
      </c>
      <c r="K22" s="13"/>
      <c r="L22" s="14"/>
      <c r="M22" s="13"/>
    </row>
    <row r="23" spans="1:13" ht="52.8" x14ac:dyDescent="0.25">
      <c r="A23" s="37"/>
      <c r="B23" s="11" t="str">
        <f ca="1">IFERROR(__xludf.DUMMYFUNCTION("""COMPUTED_VALUE"""),"II
 16:45-18:15")</f>
        <v>II
 16:45-18:15</v>
      </c>
      <c r="C23" s="12" t="str">
        <f ca="1">IFERROR(__xludf.DUMMYFUNCTION("""COMPUTED_VALUE"""),"Topol. teor. mas. (prel), P. Efros, 415/4")</f>
        <v>Topol. teor. mas. (prel), P. Efros, 415/4</v>
      </c>
      <c r="D23" s="12"/>
      <c r="E23" s="12" t="str">
        <f ca="1">IFERROR(__xludf.DUMMYFUNCTION("""COMPUTED_VALUE""")," I: POO (lab), 
A. Arnaut, 219/4a
 II: Javascript (lab), 
A. Donu, 218/4a")</f>
        <v xml:space="preserve"> I: POO (lab), 
A. Arnaut, 219/4a
 II: Javascript (lab), 
A. Donu, 218/4a</v>
      </c>
      <c r="F23" s="12" t="str">
        <f ca="1">IFERROR(__xludf.DUMMYFUNCTION("""COMPUTED_VALUE"""),"Psih. v. (sem), V. Miron, 214/4")</f>
        <v>Psih. v. (sem), V. Miron, 214/4</v>
      </c>
      <c r="G23" s="13" t="str">
        <f ca="1">IFERROR(__xludf.DUMMYFUNCTION("""COMPUTED_VALUE""")," I: POO (lab), 
Gh. Latul, 145a/4
 II. Javascript (lab), 
N. Nartea, 145/4")</f>
        <v xml:space="preserve"> I: POO (lab), 
Gh. Latul, 145a/4
 II. Javascript (lab), 
N. Nartea, 145/4</v>
      </c>
      <c r="H23" s="14" t="str">
        <f ca="1">IFERROR(__xludf.DUMMYFUNCTION("""COMPUTED_VALUE"""),"Alg. str. date (lab), 
O. Cerbu, 326/4")</f>
        <v>Alg. str. date (lab), 
O. Cerbu, 326/4</v>
      </c>
      <c r="I23" s="12" t="str">
        <f ca="1">IFERROR(__xludf.DUMMYFUNCTION("""COMPUTED_VALUE"""),"GA 2D (lab), 
E-M. Arseni, 216a/4a")</f>
        <v>GA 2D (lab), 
E-M. Arseni, 216a/4a</v>
      </c>
      <c r="J23" s="12" t="str">
        <f ca="1">IFERROR(__xludf.DUMMYFUNCTION("""COMPUTED_VALUE"""),"Ed. compl. (prel), 
M. Valic, 419/4")</f>
        <v>Ed. compl. (prel), 
M. Valic, 419/4</v>
      </c>
      <c r="K23" s="13" t="str">
        <f ca="1">IFERROR(__xludf.DUMMYFUNCTION("""COMPUTED_VALUE"""),"Alg. str. date (lab), 
S. Corlat, 237/4")</f>
        <v>Alg. str. date (lab), 
S. Corlat, 237/4</v>
      </c>
      <c r="L23" s="14" t="str">
        <f ca="1">IFERROR(__xludf.DUMMYFUNCTION("""COMPUTED_VALUE"""),"Spring (lab), 
M. Dodi, 423/4")</f>
        <v>Spring (lab), 
M. Dodi, 423/4</v>
      </c>
      <c r="M23" s="13" t="str">
        <f ca="1">IFERROR(__xludf.DUMMYFUNCTION("""COMPUTED_VALUE"""),"Design soft. (lab), 
A. Curmanschii, 350/4")</f>
        <v>Design soft. (lab), 
A. Curmanschii, 350/4</v>
      </c>
    </row>
    <row r="24" spans="1:13" ht="53.4" thickBot="1" x14ac:dyDescent="0.3">
      <c r="A24" s="38"/>
      <c r="B24" s="4" t="str">
        <f ca="1">IFERROR(__xludf.DUMMYFUNCTION("""COMPUTED_VALUE"""),"III
 18:30-20:00")</f>
        <v>III
 18:30-20:00</v>
      </c>
      <c r="C24" s="15" t="str">
        <f ca="1">IFERROR(__xludf.DUMMYFUNCTION("""COMPUTED_VALUE"""),"Topol. teor. mas. (prel), P. Efros, 415/4")</f>
        <v>Topol. teor. mas. (prel), P. Efros, 415/4</v>
      </c>
      <c r="D24" s="15"/>
      <c r="E24" s="15" t="str">
        <f ca="1">IFERROR(__xludf.DUMMYFUNCTION("""COMPUTED_VALUE""")," I: POO (lab), 
A. Arnaut, 219/4a
 II: Javascript (lab), 
A. Donu, 218/4a")</f>
        <v xml:space="preserve"> I: POO (lab), 
A. Arnaut, 219/4a
 II: Javascript (lab), 
A. Donu, 218/4a</v>
      </c>
      <c r="F24" s="15" t="str">
        <f ca="1">IFERROR(__xludf.DUMMYFUNCTION("""COMPUTED_VALUE"""),"Psih. v. (sem), V. Miron, 214/4")</f>
        <v>Psih. v. (sem), V. Miron, 214/4</v>
      </c>
      <c r="G24" s="16" t="str">
        <f ca="1">IFERROR(__xludf.DUMMYFUNCTION("""COMPUTED_VALUE"""),"Rețele de calc. (prel), 
I. Tican, 213a/4")</f>
        <v>Rețele de calc. (prel), 
I. Tican, 213a/4</v>
      </c>
      <c r="H24" s="17" t="str">
        <f ca="1">IFERROR(__xludf.DUMMYFUNCTION("""COMPUTED_VALUE"""),"Alg. str. date (lab), 
O. Cerbu, 326/4")</f>
        <v>Alg. str. date (lab), 
O. Cerbu, 326/4</v>
      </c>
      <c r="I24" s="15" t="str">
        <f ca="1">IFERROR(__xludf.DUMMYFUNCTION("""COMPUTED_VALUE"""),"GA 2D (lab), 
E-M. Arseni, 216a/4a")</f>
        <v>GA 2D (lab), 
E-M. Arseni, 216a/4a</v>
      </c>
      <c r="J24" s="15" t="str">
        <f ca="1">IFERROR(__xludf.DUMMYFUNCTION("""COMPUTED_VALUE"""),"Ed. compl. (sem), 
M. Valic, 419/4")</f>
        <v>Ed. compl. (sem), 
M. Valic, 419/4</v>
      </c>
      <c r="K24" s="16" t="str">
        <f ca="1">IFERROR(__xludf.DUMMYFUNCTION("""COMPUTED_VALUE"""),"Alg. str. date (lab), 
S. Corlat, 237/4")</f>
        <v>Alg. str. date (lab), 
S. Corlat, 237/4</v>
      </c>
      <c r="L24" s="17" t="str">
        <f ca="1">IFERROR(__xludf.DUMMYFUNCTION("""COMPUTED_VALUE"""),"Spring (lab), 
M. Dodi, 423/4")</f>
        <v>Spring (lab), 
M. Dodi, 423/4</v>
      </c>
      <c r="M24" s="16" t="str">
        <f ca="1">IFERROR(__xludf.DUMMYFUNCTION("""COMPUTED_VALUE"""),"Design soft. (lab), 
A. Curmanschii, 350/4")</f>
        <v>Design soft. (lab), 
A. Curmanschii, 350/4</v>
      </c>
    </row>
    <row r="25" spans="1:13" ht="66.599999999999994" thickTop="1" x14ac:dyDescent="0.25">
      <c r="A25" s="36" t="str">
        <f ca="1">IFERROR(__xludf.DUMMYFUNCTION("""COMPUTED_VALUE"""),"Sîmbătă,
16.05.2026")</f>
        <v>Sîmbătă,
16.05.2026</v>
      </c>
      <c r="B25" s="18" t="str">
        <f ca="1">IFERROR(__xludf.DUMMYFUNCTION("""COMPUTED_VALUE"""),"I
 08:00-9:30")</f>
        <v>I
 08:00-9:30</v>
      </c>
      <c r="C25" s="19"/>
      <c r="D25" s="19" t="str">
        <f ca="1">IFERROR(__xludf.DUMMYFUNCTION("""COMPUTED_VALUE""")," I. Rețele de calc. (lab), 
I. Tican, 251/4
 II. Python (lab), 
V. Trebiș, 326/4")</f>
        <v xml:space="preserve"> I. Rețele de calc. (lab), 
I. Tican, 251/4
 II. Python (lab), 
V. Trebiș, 326/4</v>
      </c>
      <c r="E25" s="19"/>
      <c r="F25" s="19"/>
      <c r="G25" s="20"/>
      <c r="H25" s="21"/>
      <c r="I25" s="19"/>
      <c r="J25" s="19"/>
      <c r="K25" s="20"/>
      <c r="L25" s="21"/>
      <c r="M25" s="20"/>
    </row>
    <row r="26" spans="1:13" ht="66" x14ac:dyDescent="0.25">
      <c r="A26" s="37"/>
      <c r="B26" s="11" t="str">
        <f ca="1">IFERROR(__xludf.DUMMYFUNCTION("""COMPUTED_VALUE"""),"II
 09:45-11:15")</f>
        <v>II
 09:45-11:15</v>
      </c>
      <c r="C26" s="12" t="str">
        <f ca="1">IFERROR(__xludf.DUMMYFUNCTION("""COMPUTED_VALUE"""),"Structuri algebrice (prel), P. Sârbu, 415/4")</f>
        <v>Structuri algebrice (prel), P. Sârbu, 415/4</v>
      </c>
      <c r="D26" s="12" t="str">
        <f ca="1">IFERROR(__xludf.DUMMYFUNCTION("""COMPUTED_VALUE""")," I. Rețele de calc. (lab), 
I. Tican, 251/4
 II. Python (lab), 
V. Trebiș, 326/4")</f>
        <v xml:space="preserve"> I. Rețele de calc. (lab), 
I. Tican, 251/4
 II. Python (lab), 
V. Trebiș, 326/4</v>
      </c>
      <c r="E26" s="12"/>
      <c r="F26" s="12"/>
      <c r="G26" s="13"/>
      <c r="H26" s="14" t="str">
        <f ca="1">IFERROR(__xludf.DUMMYFUNCTION("""COMPUTED_VALUE"""),"Design UI/UX (prel), 
E. Mîndru, 404/4")</f>
        <v>Design UI/UX (prel), 
E. Mîndru, 404/4</v>
      </c>
      <c r="I26" s="12" t="str">
        <f ca="1">IFERROR(__xludf.DUMMYFUNCTION("""COMPUTED_VALUE"""),"Design UI/UX (prel), 
E. Mîndru, 404/4")</f>
        <v>Design UI/UX (prel), 
E. Mîndru, 404/4</v>
      </c>
      <c r="J26" s="12"/>
      <c r="K26" s="13" t="str">
        <f ca="1">IFERROR(__xludf.DUMMYFUNCTION("""COMPUTED_VALUE"""),"Design UI/UX (prel), 
V. Vișnevschi, 222/4")</f>
        <v>Design UI/UX (prel), 
V. Vișnevschi, 222/4</v>
      </c>
      <c r="L26" s="14" t="str">
        <f ca="1">IFERROR(__xludf.DUMMYFUNCTION("""COMPUTED_VALUE"""),"Design soft. (prel), 
G-C. Stănescu, 113/4")</f>
        <v>Design soft. (prel), 
G-C. Stănescu, 113/4</v>
      </c>
      <c r="M26" s="13" t="str">
        <f ca="1">IFERROR(__xludf.DUMMYFUNCTION("""COMPUTED_VALUE"""),"Spring (prel), 
M. Dodi, 214/4")</f>
        <v>Spring (prel), 
M. Dodi, 214/4</v>
      </c>
    </row>
    <row r="27" spans="1:13" ht="66" x14ac:dyDescent="0.25">
      <c r="A27" s="37"/>
      <c r="B27" s="11" t="str">
        <f ca="1">IFERROR(__xludf.DUMMYFUNCTION("""COMPUTED_VALUE"""),"III
 11:30-13:00")</f>
        <v>III
 11:30-13:00</v>
      </c>
      <c r="C27" s="12" t="str">
        <f ca="1">IFERROR(__xludf.DUMMYFUNCTION("""COMPUTED_VALUE"""),"Structuri algebrice (prel), P. Sârbu, 415/4")</f>
        <v>Structuri algebrice (prel), P. Sârbu, 415/4</v>
      </c>
      <c r="D27" s="12" t="str">
        <f ca="1">IFERROR(__xludf.DUMMYFUNCTION("""COMPUTED_VALUE""")," I. Python (lab), 
V. Trebiș, 326/4
 II. Rețele de calc. (lab), 
I. Tican, 251/4")</f>
        <v xml:space="preserve"> I. Python (lab), 
V. Trebiș, 326/4
 II. Rețele de calc. (lab), 
I. Tican, 251/4</v>
      </c>
      <c r="E27" s="12"/>
      <c r="F27" s="12" t="str">
        <f ca="1">IFERROR(__xludf.DUMMYFUNCTION("""COMPUTED_VALUE"""),"Rețele de calc. (lab), 
I. Tican, 251/4")</f>
        <v>Rețele de calc. (lab), 
I. Tican, 251/4</v>
      </c>
      <c r="G27" s="13"/>
      <c r="H27" s="14" t="str">
        <f ca="1">IFERROR(__xludf.DUMMYFUNCTION("""COMPUTED_VALUE"""),"Design UI/UX (prel), 
E. Mîndru, 404/4")</f>
        <v>Design UI/UX (prel), 
E. Mîndru, 404/4</v>
      </c>
      <c r="I27" s="12" t="str">
        <f ca="1">IFERROR(__xludf.DUMMYFUNCTION("""COMPUTED_VALUE"""),"Design UI/UX (prel), 
E. Mîndru, 404/4")</f>
        <v>Design UI/UX (prel), 
E. Mîndru, 404/4</v>
      </c>
      <c r="J27" s="12"/>
      <c r="K27" s="13" t="str">
        <f ca="1">IFERROR(__xludf.DUMMYFUNCTION("""COMPUTED_VALUE"""),"Design UI/UX (prel), 
V. Vișnevschi, 222/4")</f>
        <v>Design UI/UX (prel), 
V. Vișnevschi, 222/4</v>
      </c>
      <c r="L27" s="14" t="str">
        <f ca="1">IFERROR(__xludf.DUMMYFUNCTION("""COMPUTED_VALUE"""),"Design soft. (prel), 
G-C. Stănescu, 113/4")</f>
        <v>Design soft. (prel), 
G-C. Stănescu, 113/4</v>
      </c>
      <c r="M27" s="13" t="str">
        <f ca="1">IFERROR(__xludf.DUMMYFUNCTION("""COMPUTED_VALUE"""),"Spring (prel), 
M. Dodi, 214/4")</f>
        <v>Spring (prel), 
M. Dodi, 214/4</v>
      </c>
    </row>
    <row r="28" spans="1:13" ht="66" x14ac:dyDescent="0.25">
      <c r="A28" s="37"/>
      <c r="B28" s="11" t="str">
        <f ca="1">IFERROR(__xludf.DUMMYFUNCTION("""COMPUTED_VALUE"""),"IV
 13:15-14:45")</f>
        <v>IV
 13:15-14:45</v>
      </c>
      <c r="C28" s="12"/>
      <c r="D28" s="12" t="str">
        <f ca="1">IFERROR(__xludf.DUMMYFUNCTION("""COMPUTED_VALUE""")," I. Python (lab), 
V. Trebiș, 326/4
 II. Rețele de calc. (lab), 
I. Tican, 251/4")</f>
        <v xml:space="preserve"> I. Python (lab), 
V. Trebiș, 326/4
 II. Rețele de calc. (lab), 
I. Tican, 251/4</v>
      </c>
      <c r="E28" s="12"/>
      <c r="F28" s="12" t="str">
        <f ca="1">IFERROR(__xludf.DUMMYFUNCTION("""COMPUTED_VALUE"""),"Rețele de calc. (lab), 
I. Tican, 251/4")</f>
        <v>Rețele de calc. (lab), 
I. Tican, 251/4</v>
      </c>
      <c r="G28" s="13"/>
      <c r="H28" s="14"/>
      <c r="I28" s="12"/>
      <c r="J28" s="12"/>
      <c r="K28" s="13" t="str">
        <f ca="1">IFERROR(__xludf.DUMMYFUNCTION("""COMPUTED_VALUE"""),"GA 2D (prel), 
T. Iațîșina, 222/4")</f>
        <v>GA 2D (prel), 
T. Iațîșina, 222/4</v>
      </c>
      <c r="L28" s="14" t="str">
        <f ca="1">IFERROR(__xludf.DUMMYFUNCTION("""COMPUTED_VALUE"""),"Cloud comp. (prel), 
A. Prepeliță, 113/4")</f>
        <v>Cloud comp. (prel), 
A. Prepeliță, 113/4</v>
      </c>
      <c r="M28" s="13" t="str">
        <f ca="1">IFERROR(__xludf.DUMMYFUNCTION("""COMPUTED_VALUE"""),"IA (prel), 
T. Bumbu, 214/4")</f>
        <v>IA (prel), 
T. Bumbu, 214/4</v>
      </c>
    </row>
    <row r="29" spans="1:13" ht="66" x14ac:dyDescent="0.25">
      <c r="A29" s="37"/>
      <c r="B29" s="11" t="str">
        <f ca="1">IFERROR(__xludf.DUMMYFUNCTION("""COMPUTED_VALUE""")," V
15:00-16:30")</f>
        <v xml:space="preserve"> V
15:00-16:30</v>
      </c>
      <c r="C29" s="12"/>
      <c r="D29" s="12"/>
      <c r="E29" s="12"/>
      <c r="F29" s="12"/>
      <c r="G29" s="13" t="str">
        <f ca="1">IFERROR(__xludf.DUMMYFUNCTION("""COMPUTED_VALUE""")," I. Rețele de calc. (lab), 
I. Tican, 251/4
 II. Python (lab), 
V. Trebiș, 326/4")</f>
        <v xml:space="preserve"> I. Rețele de calc. (lab), 
I. Tican, 251/4
 II. Python (lab), 
V. Trebiș, 326/4</v>
      </c>
      <c r="H29" s="14"/>
      <c r="I29" s="12"/>
      <c r="J29" s="12"/>
      <c r="K29" s="13" t="str">
        <f ca="1">IFERROR(__xludf.DUMMYFUNCTION("""COMPUTED_VALUE"""),"GA 2D (prel), 
T. Iațîșina, 222/4")</f>
        <v>GA 2D (prel), 
T. Iațîșina, 222/4</v>
      </c>
      <c r="L29" s="14" t="str">
        <f ca="1">IFERROR(__xludf.DUMMYFUNCTION("""COMPUTED_VALUE"""),"Cloud comp. (prel), 
A. Prepeliță, 113/4")</f>
        <v>Cloud comp. (prel), 
A. Prepeliță, 113/4</v>
      </c>
      <c r="M29" s="13" t="str">
        <f ca="1">IFERROR(__xludf.DUMMYFUNCTION("""COMPUTED_VALUE"""),"IA (prel), 
T. Bumbu, 214/4")</f>
        <v>IA (prel), 
T. Bumbu, 214/4</v>
      </c>
    </row>
    <row r="30" spans="1:13" ht="66.599999999999994" thickBot="1" x14ac:dyDescent="0.3">
      <c r="A30" s="38"/>
      <c r="B30" s="4" t="str">
        <f ca="1">IFERROR(__xludf.DUMMYFUNCTION("""COMPUTED_VALUE"""),"VI
 16:45-18:15")</f>
        <v>VI
 16:45-18:15</v>
      </c>
      <c r="C30" s="15"/>
      <c r="D30" s="15"/>
      <c r="E30" s="15"/>
      <c r="F30" s="15"/>
      <c r="G30" s="16" t="str">
        <f ca="1">IFERROR(__xludf.DUMMYFUNCTION("""COMPUTED_VALUE""")," I. Rețele de calc. (lab), 
I. Tican, 251/4
 II. Python (lab), 
V. Trebiș, 326/4")</f>
        <v xml:space="preserve"> I. Rețele de calc. (lab), 
I. Tican, 251/4
 II. Python (lab), 
V. Trebiș, 326/4</v>
      </c>
      <c r="H30" s="17"/>
      <c r="I30" s="15"/>
      <c r="J30" s="15"/>
      <c r="K30" s="16"/>
      <c r="L30" s="17" t="str">
        <f ca="1">IFERROR(__xludf.DUMMYFUNCTION("""COMPUTED_VALUE""")," I: IA (lab), 
T. Bumbu, 237/4")</f>
        <v xml:space="preserve"> I: IA (lab), 
T. Bumbu, 237/4</v>
      </c>
      <c r="M30" s="16"/>
    </row>
    <row r="31" spans="1:13" ht="66.599999999999994" thickTop="1" x14ac:dyDescent="0.25">
      <c r="A31" s="36" t="str">
        <f ca="1">IFERROR(__xludf.DUMMYFUNCTION("""COMPUTED_VALUE"""),"Duminică,
17.05.2026")</f>
        <v>Duminică,
17.05.2026</v>
      </c>
      <c r="B31" s="18" t="str">
        <f ca="1">IFERROR(__xludf.DUMMYFUNCTION("""COMPUTED_VALUE"""),"I
 08:00-9:30")</f>
        <v>I
 08:00-9:30</v>
      </c>
      <c r="C31" s="19"/>
      <c r="D31" s="19"/>
      <c r="E31" s="19" t="str">
        <f ca="1">IFERROR(__xludf.DUMMYFUNCTION("""COMPUTED_VALUE""")," I. Rețele de calc. (lab), 
I. Tican, 145a/4
 II. Python (lab), 
V. Trebiș, 143/4")</f>
        <v xml:space="preserve"> I. Rețele de calc. (lab), 
I. Tican, 145a/4
 II. Python (lab), 
V. Trebiș, 143/4</v>
      </c>
      <c r="F31" s="19"/>
      <c r="G31" s="20"/>
      <c r="H31" s="21"/>
      <c r="I31" s="19"/>
      <c r="J31" s="19"/>
      <c r="K31" s="20"/>
      <c r="L31" s="21"/>
      <c r="M31" s="20"/>
    </row>
    <row r="32" spans="1:13" ht="66" x14ac:dyDescent="0.25">
      <c r="A32" s="37"/>
      <c r="B32" s="11" t="str">
        <f ca="1">IFERROR(__xludf.DUMMYFUNCTION("""COMPUTED_VALUE"""),"II
 09:45-11:15")</f>
        <v>II
 09:45-11:15</v>
      </c>
      <c r="C32" s="12"/>
      <c r="D32" s="12"/>
      <c r="E32" s="12" t="str">
        <f ca="1">IFERROR(__xludf.DUMMYFUNCTION("""COMPUTED_VALUE""")," I. Rețele de calc. (lab), 
I. Tican, 145a/4
 II. Python (lab), 
V. Trebiș, 143/4")</f>
        <v xml:space="preserve"> I. Rețele de calc. (lab), 
I. Tican, 145a/4
 II. Python (lab), 
V. Trebiș, 143/4</v>
      </c>
      <c r="F32" s="12"/>
      <c r="G32" s="13"/>
      <c r="H32" s="14"/>
      <c r="I32" s="12"/>
      <c r="J32" s="12"/>
      <c r="K32" s="13"/>
      <c r="L32" s="14" t="str">
        <f ca="1">IFERROR(__xludf.DUMMYFUNCTION("""COMPUTED_VALUE""")," I: Cloud comp. (lab), 
A. Prepeliță, 251/4
 II: Design soft. (lab), 
G-C. Stănescu, 326/4")</f>
        <v xml:space="preserve"> I: Cloud comp. (lab), 
A. Prepeliță, 251/4
 II: Design soft. (lab), 
G-C. Stănescu, 326/4</v>
      </c>
      <c r="M32" s="13" t="str">
        <f ca="1">IFERROR(__xludf.DUMMYFUNCTION("""COMPUTED_VALUE"""),"Spring (lab), 
M. Dodi, 237/4")</f>
        <v>Spring (lab), 
M. Dodi, 237/4</v>
      </c>
    </row>
    <row r="33" spans="1:13" ht="66" x14ac:dyDescent="0.25">
      <c r="A33" s="37"/>
      <c r="B33" s="11" t="str">
        <f ca="1">IFERROR(__xludf.DUMMYFUNCTION("""COMPUTED_VALUE"""),"III
 11:30-13:00")</f>
        <v>III
 11:30-13:00</v>
      </c>
      <c r="C33" s="12"/>
      <c r="D33" s="12"/>
      <c r="E33" s="12" t="str">
        <f ca="1">IFERROR(__xludf.DUMMYFUNCTION("""COMPUTED_VALUE""")," I. Python (lab), 
V. Trebiș, 143/4
 II. Rețele de calc. (lab), 
I. Tican, 145a/4")</f>
        <v xml:space="preserve"> I. Python (lab), 
V. Trebiș, 143/4
 II. Rețele de calc. (lab), 
I. Tican, 145a/4</v>
      </c>
      <c r="F33" s="12"/>
      <c r="G33" s="13"/>
      <c r="H33" s="14"/>
      <c r="I33" s="12"/>
      <c r="J33" s="12"/>
      <c r="K33" s="13"/>
      <c r="L33" s="14" t="str">
        <f ca="1">IFERROR(__xludf.DUMMYFUNCTION("""COMPUTED_VALUE""")," I: Cloud comp. (lab), 
A. Prepeliță, 251/4
 II: Design soft. (lab), 
G-C. Stănescu, 326/4")</f>
        <v xml:space="preserve"> I: Cloud comp. (lab), 
A. Prepeliță, 251/4
 II: Design soft. (lab), 
G-C. Stănescu, 326/4</v>
      </c>
      <c r="M33" s="13" t="str">
        <f ca="1">IFERROR(__xludf.DUMMYFUNCTION("""COMPUTED_VALUE"""),"Spring (lab), 
M. Dodi, 237/4")</f>
        <v>Spring (lab), 
M. Dodi, 237/4</v>
      </c>
    </row>
    <row r="34" spans="1:13" ht="66" x14ac:dyDescent="0.25">
      <c r="A34" s="37"/>
      <c r="B34" s="11" t="str">
        <f ca="1">IFERROR(__xludf.DUMMYFUNCTION("""COMPUTED_VALUE"""),"IV
 13:15-14:45")</f>
        <v>IV
 13:15-14:45</v>
      </c>
      <c r="C34" s="12"/>
      <c r="D34" s="12"/>
      <c r="E34" s="12" t="str">
        <f ca="1">IFERROR(__xludf.DUMMYFUNCTION("""COMPUTED_VALUE""")," I. Python (lab), 
V. Trebiș, 143/4
 II. Rețele de calc. (lab), 
I. Tican, 145a/4")</f>
        <v xml:space="preserve"> I. Python (lab), 
V. Trebiș, 143/4
 II. Rețele de calc. (lab), 
I. Tican, 145a/4</v>
      </c>
      <c r="F34" s="12"/>
      <c r="G34" s="13"/>
      <c r="H34" s="14"/>
      <c r="I34" s="12"/>
      <c r="J34" s="12"/>
      <c r="K34" s="13"/>
      <c r="L34" s="14" t="str">
        <f ca="1">IFERROR(__xludf.DUMMYFUNCTION("""COMPUTED_VALUE""")," I: Design soft. (lab), 
G-C. Stănescu, 326/4
 II: Cloud comp. (lab), 
A. Prepeliță, 251/4")</f>
        <v xml:space="preserve"> I: Design soft. (lab), 
G-C. Stănescu, 326/4
 II: Cloud comp. (lab), 
A. Prepeliță, 251/4</v>
      </c>
      <c r="M34" s="13" t="str">
        <f ca="1">IFERROR(__xludf.DUMMYFUNCTION("""COMPUTED_VALUE"""),"IA (lab), 
T. Bumbu, 237/4")</f>
        <v>IA (lab), 
T. Bumbu, 237/4</v>
      </c>
    </row>
    <row r="35" spans="1:13" ht="66" x14ac:dyDescent="0.25">
      <c r="A35" s="37"/>
      <c r="B35" s="11" t="str">
        <f ca="1">IFERROR(__xludf.DUMMYFUNCTION("""COMPUTED_VALUE""")," V
15:00-16:30")</f>
        <v xml:space="preserve"> V
15:00-16:30</v>
      </c>
      <c r="C35" s="12"/>
      <c r="D35" s="12"/>
      <c r="E35" s="12"/>
      <c r="F35" s="12"/>
      <c r="G35" s="13" t="str">
        <f ca="1">IFERROR(__xludf.DUMMYFUNCTION("""COMPUTED_VALUE""")," I. Python (lab), 
V. Trebiș, 143/4
 II. Rețele de calc. (lab), 
I. Tican, 145a/4")</f>
        <v xml:space="preserve"> I. Python (lab), 
V. Trebiș, 143/4
 II. Rețele de calc. (lab), 
I. Tican, 145a/4</v>
      </c>
      <c r="H35" s="14"/>
      <c r="I35" s="12"/>
      <c r="J35" s="12"/>
      <c r="K35" s="13"/>
      <c r="L35" s="14" t="str">
        <f ca="1">IFERROR(__xludf.DUMMYFUNCTION("""COMPUTED_VALUE""")," I: Design soft. (lab), 
G-C. Stănescu, 326/4
 II: Cloud comp. (lab), 
A. Prepeliță, 251/4")</f>
        <v xml:space="preserve"> I: Design soft. (lab), 
G-C. Stănescu, 326/4
 II: Cloud comp. (lab), 
A. Prepeliță, 251/4</v>
      </c>
      <c r="M35" s="13" t="str">
        <f ca="1">IFERROR(__xludf.DUMMYFUNCTION("""COMPUTED_VALUE"""),"IA (lab), 
T. Bumbu, 237/4")</f>
        <v>IA (lab), 
T. Bumbu, 237/4</v>
      </c>
    </row>
    <row r="36" spans="1:13" ht="66.599999999999994" thickBot="1" x14ac:dyDescent="0.3">
      <c r="A36" s="38"/>
      <c r="B36" s="4" t="str">
        <f ca="1">IFERROR(__xludf.DUMMYFUNCTION("""COMPUTED_VALUE"""),"VI
 16:45-18:15")</f>
        <v>VI
 16:45-18:15</v>
      </c>
      <c r="C36" s="15"/>
      <c r="D36" s="15"/>
      <c r="E36" s="15"/>
      <c r="F36" s="15"/>
      <c r="G36" s="16" t="str">
        <f ca="1">IFERROR(__xludf.DUMMYFUNCTION("""COMPUTED_VALUE""")," I. Python (lab), 
V. Trebiș, 143/4
 II. Rețele de calc. (lab), 
I. Tican, 145a/4")</f>
        <v xml:space="preserve"> I. Python (lab), 
V. Trebiș, 143/4
 II. Rețele de calc. (lab), 
I. Tican, 145a/4</v>
      </c>
      <c r="H36" s="17"/>
      <c r="I36" s="15"/>
      <c r="J36" s="15"/>
      <c r="K36" s="16"/>
      <c r="L36" s="17" t="str">
        <f ca="1">IFERROR(__xludf.DUMMYFUNCTION("""COMPUTED_VALUE""")," II: IA (lab), 
T. Bumbu, 237/4")</f>
        <v xml:space="preserve"> II: IA (lab), 
T. Bumbu, 237/4</v>
      </c>
      <c r="M36" s="16"/>
    </row>
    <row r="37" spans="1:13" ht="14.4" thickTop="1" thickBot="1" x14ac:dyDescent="0.3">
      <c r="A37" s="22"/>
      <c r="B37" s="2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27" thickTop="1" x14ac:dyDescent="0.25">
      <c r="A38" s="36" t="str">
        <f ca="1">IFERROR(__xludf.DUMMYFUNCTION("""COMPUTED_VALUE"""),"Luni,
18.05.2026")</f>
        <v>Luni,
18.05.2026</v>
      </c>
      <c r="B38" s="23" t="str">
        <f ca="1">IFERROR(__xludf.DUMMYFUNCTION("""COMPUTED_VALUE"""),"13:15-14:45")</f>
        <v>13:15-14:45</v>
      </c>
      <c r="C38" s="24" t="str">
        <f ca="1">IFERROR(__xludf.DUMMYFUNCTION("""COMPUTED_VALUE"""),"Utilizare TI (lab), C. Țurcan, 219/4a")</f>
        <v>Utilizare TI (lab), C. Țurcan, 219/4a</v>
      </c>
      <c r="D38" s="24"/>
      <c r="E38" s="24"/>
      <c r="F38" s="24"/>
      <c r="G38" s="25"/>
      <c r="H38" s="26"/>
      <c r="I38" s="24"/>
      <c r="J38" s="24"/>
      <c r="K38" s="25"/>
      <c r="L38" s="26"/>
      <c r="M38" s="25"/>
    </row>
    <row r="39" spans="1:13" ht="26.4" x14ac:dyDescent="0.25">
      <c r="A39" s="37"/>
      <c r="B39" s="11" t="str">
        <f ca="1">IFERROR(__xludf.DUMMYFUNCTION("""COMPUTED_VALUE""")," I
15:00-16:30")</f>
        <v xml:space="preserve"> I
15:00-16:30</v>
      </c>
      <c r="C39" s="12" t="str">
        <f ca="1">IFERROR(__xludf.DUMMYFUNCTION("""COMPUTED_VALUE"""),"Utilizare TI (lab), C. Țurcan, 219/4a")</f>
        <v>Utilizare TI (lab), C. Țurcan, 219/4a</v>
      </c>
      <c r="D39" s="12" t="str">
        <f ca="1">IFERROR(__xludf.DUMMYFUNCTION("""COMPUTED_VALUE"""),"Javascript (prel), 
A. Donu, 404/4")</f>
        <v>Javascript (prel), 
A. Donu, 404/4</v>
      </c>
      <c r="E39" s="12" t="str">
        <f ca="1">IFERROR(__xludf.DUMMYFUNCTION("""COMPUTED_VALUE"""),"Javascript (prel), 
A. Donu, 404/4")</f>
        <v>Javascript (prel), 
A. Donu, 404/4</v>
      </c>
      <c r="F39" s="12" t="str">
        <f ca="1">IFERROR(__xludf.DUMMYFUNCTION("""COMPUTED_VALUE"""),"Psih. (prel), V. Miron, 415/4")</f>
        <v>Psih. (prel), V. Miron, 415/4</v>
      </c>
      <c r="G39" s="13" t="str">
        <f ca="1">IFERROR(__xludf.DUMMYFUNCTION("""COMPUTED_VALUE"""),"Javascript (prel), 
N. Nartea, 350/4")</f>
        <v>Javascript (prel), 
N. Nartea, 350/4</v>
      </c>
      <c r="H39" s="14" t="str">
        <f ca="1">IFERROR(__xludf.DUMMYFUNCTION("""COMPUTED_VALUE"""),"Alg. str. date (prel), 
S. Corlat, 213a/4")</f>
        <v>Alg. str. date (prel), 
S. Corlat, 213a/4</v>
      </c>
      <c r="I39" s="12" t="str">
        <f ca="1">IFERROR(__xludf.DUMMYFUNCTION("""COMPUTED_VALUE"""),"Alg. str. date (prel), 
S. Corlat, 213a/4")</f>
        <v>Alg. str. date (prel), 
S. Corlat, 213a/4</v>
      </c>
      <c r="J39" s="12" t="str">
        <f ca="1">IFERROR(__xludf.DUMMYFUNCTION("""COMPUTED_VALUE"""),"Alg. str. date (prel), 
S. Corlat, 213a/4")</f>
        <v>Alg. str. date (prel), 
S. Corlat, 213a/4</v>
      </c>
      <c r="K39" s="13"/>
      <c r="L39" s="14"/>
      <c r="M39" s="13"/>
    </row>
    <row r="40" spans="1:13" ht="39.6" x14ac:dyDescent="0.25">
      <c r="A40" s="37"/>
      <c r="B40" s="11" t="str">
        <f ca="1">IFERROR(__xludf.DUMMYFUNCTION("""COMPUTED_VALUE""")," II
16:45-18:15")</f>
        <v xml:space="preserve"> II
16:45-18:15</v>
      </c>
      <c r="C40" s="12" t="str">
        <f ca="1">IFERROR(__xludf.DUMMYFUNCTION("""COMPUTED_VALUE"""),"Structuri algebrice (sem), P. Sârbu, 415/4")</f>
        <v>Structuri algebrice (sem), P. Sârbu, 415/4</v>
      </c>
      <c r="D40" s="12" t="str">
        <f ca="1">IFERROR(__xludf.DUMMYFUNCTION("""COMPUTED_VALUE"""),"POO (prel), 
A. Arnaut, 404/4")</f>
        <v>POO (prel), 
A. Arnaut, 404/4</v>
      </c>
      <c r="E40" s="12" t="str">
        <f ca="1">IFERROR(__xludf.DUMMYFUNCTION("""COMPUTED_VALUE"""),"POO (prel), 
A. Arnaut, 404/4")</f>
        <v>POO (prel), 
A. Arnaut, 404/4</v>
      </c>
      <c r="F40" s="12" t="str">
        <f ca="1">IFERROR(__xludf.DUMMYFUNCTION("""COMPUTED_VALUE"""),"POO (prel), 
A. Arnaut, 404/4")</f>
        <v>POO (prel), 
A. Arnaut, 404/4</v>
      </c>
      <c r="G40" s="13" t="str">
        <f ca="1">IFERROR(__xludf.DUMMYFUNCTION("""COMPUTED_VALUE"""),"POO (prel), 
Gh. Latul, 419/4")</f>
        <v>POO (prel), 
Gh. Latul, 419/4</v>
      </c>
      <c r="H40" s="14" t="str">
        <f ca="1">IFERROR(__xludf.DUMMYFUNCTION("""COMPUTED_VALUE"""),"Cript. sec.inf. (lab), 
O. Cerbu, 145a/4")</f>
        <v>Cript. sec.inf. (lab), 
O. Cerbu, 145a/4</v>
      </c>
      <c r="I40" s="12" t="str">
        <f ca="1">IFERROR(__xludf.DUMMYFUNCTION("""COMPUTED_VALUE"""),"Proiect. SI. (lab), 
A. Gladei, 143/4")</f>
        <v>Proiect. SI. (lab), 
A. Gladei, 143/4</v>
      </c>
      <c r="J40" s="12" t="str">
        <f ca="1">IFERROR(__xludf.DUMMYFUNCTION("""COMPUTED_VALUE"""),"Proiect. SI. (lab), 
A. Gladei, 143/4")</f>
        <v>Proiect. SI. (lab), 
A. Gladei, 143/4</v>
      </c>
      <c r="K40" s="13" t="str">
        <f ca="1">IFERROR(__xludf.DUMMYFUNCTION("""COMPUTED_VALUE"""),"Alg. str. date (prel), 
S. Corlat, 213a/4")</f>
        <v>Alg. str. date (prel), 
S. Corlat, 213a/4</v>
      </c>
      <c r="L40" s="14"/>
      <c r="M40" s="13" t="str">
        <f ca="1">IFERROR(__xludf.DUMMYFUNCTION("""COMPUTED_VALUE"""),"Cloud comp. (prel), 
N. Nartea, 350/4")</f>
        <v>Cloud comp. (prel), 
N. Nartea, 350/4</v>
      </c>
    </row>
    <row r="41" spans="1:13" ht="40.200000000000003" thickBot="1" x14ac:dyDescent="0.3">
      <c r="A41" s="38"/>
      <c r="B41" s="4" t="str">
        <f ca="1">IFERROR(__xludf.DUMMYFUNCTION("""COMPUTED_VALUE"""),"III
18:30-20:00")</f>
        <v>III
18:30-20:00</v>
      </c>
      <c r="C41" s="15" t="str">
        <f ca="1">IFERROR(__xludf.DUMMYFUNCTION("""COMPUTED_VALUE"""),"Structuri algebrice (sem), P. Sârbu, 415/4")</f>
        <v>Structuri algebrice (sem), P. Sârbu, 415/4</v>
      </c>
      <c r="D41" s="15" t="str">
        <f ca="1">IFERROR(__xludf.DUMMYFUNCTION("""COMPUTED_VALUE"""),"Rețele de calc. (prel), 
I. Tican, 404/4")</f>
        <v>Rețele de calc. (prel), 
I. Tican, 404/4</v>
      </c>
      <c r="E41" s="15" t="str">
        <f ca="1">IFERROR(__xludf.DUMMYFUNCTION("""COMPUTED_VALUE"""),"Rețele de calc. (prel), 
I. Tican, 404/4")</f>
        <v>Rețele de calc. (prel), 
I. Tican, 404/4</v>
      </c>
      <c r="F41" s="15" t="str">
        <f ca="1">IFERROR(__xludf.DUMMYFUNCTION("""COMPUTED_VALUE"""),"Rețele de calc. (prel), 
I. Tican, 404/4")</f>
        <v>Rețele de calc. (prel), 
I. Tican, 404/4</v>
      </c>
      <c r="G41" s="16"/>
      <c r="H41" s="17" t="str">
        <f ca="1">IFERROR(__xludf.DUMMYFUNCTION("""COMPUTED_VALUE"""),"Cript. sec.inf. (lab), 
O. Cerbu, 145a/4")</f>
        <v>Cript. sec.inf. (lab), 
O. Cerbu, 145a/4</v>
      </c>
      <c r="I41" s="15" t="str">
        <f ca="1">IFERROR(__xludf.DUMMYFUNCTION("""COMPUTED_VALUE"""),"Proiect. SI. (lab), 
A. Gladei, 143/4")</f>
        <v>Proiect. SI. (lab), 
A. Gladei, 143/4</v>
      </c>
      <c r="J41" s="15" t="str">
        <f ca="1">IFERROR(__xludf.DUMMYFUNCTION("""COMPUTED_VALUE"""),"Proiect. SI. (lab), 
A. Gladei, 143/4")</f>
        <v>Proiect. SI. (lab), 
A. Gladei, 143/4</v>
      </c>
      <c r="K41" s="16" t="str">
        <f ca="1">IFERROR(__xludf.DUMMYFUNCTION("""COMPUTED_VALUE"""),"Alg. str. date (prel), 
S. Corlat, 213a/4")</f>
        <v>Alg. str. date (prel), 
S. Corlat, 213a/4</v>
      </c>
      <c r="L41" s="17"/>
      <c r="M41" s="16" t="str">
        <f ca="1">IFERROR(__xludf.DUMMYFUNCTION("""COMPUTED_VALUE"""),"Cloud comp. (prel), 
N. Nartea, 350/4")</f>
        <v>Cloud comp. (prel), 
N. Nartea, 350/4</v>
      </c>
    </row>
    <row r="42" spans="1:13" ht="27" thickTop="1" x14ac:dyDescent="0.25">
      <c r="A42" s="36" t="str">
        <f ca="1">IFERROR(__xludf.DUMMYFUNCTION("""COMPUTED_VALUE"""),"Marți,
19.05.2026")</f>
        <v>Marți,
19.05.2026</v>
      </c>
      <c r="B42" s="18" t="str">
        <f ca="1">IFERROR(__xludf.DUMMYFUNCTION("""COMPUTED_VALUE"""),"13:15-14:45")</f>
        <v>13:15-14:45</v>
      </c>
      <c r="C42" s="19" t="str">
        <f ca="1">IFERROR(__xludf.DUMMYFUNCTION("""COMPUTED_VALUE"""),"Utilizare TI (lab), C. Țurcan, 219/4a")</f>
        <v>Utilizare TI (lab), C. Țurcan, 219/4a</v>
      </c>
      <c r="D42" s="19"/>
      <c r="E42" s="19"/>
      <c r="F42" s="19"/>
      <c r="G42" s="20"/>
      <c r="H42" s="21"/>
      <c r="I42" s="19"/>
      <c r="J42" s="19"/>
      <c r="K42" s="20"/>
      <c r="L42" s="21"/>
      <c r="M42" s="20"/>
    </row>
    <row r="43" spans="1:13" ht="52.8" x14ac:dyDescent="0.25">
      <c r="A43" s="37"/>
      <c r="B43" s="11" t="str">
        <f ca="1">IFERROR(__xludf.DUMMYFUNCTION("""COMPUTED_VALUE""")," I
15:00-16:30")</f>
        <v xml:space="preserve"> I
15:00-16:30</v>
      </c>
      <c r="C43" s="12" t="str">
        <f ca="1">IFERROR(__xludf.DUMMYFUNCTION("""COMPUTED_VALUE"""),"Utilizare TI (lab), C. Țurcan, 219/4a")</f>
        <v>Utilizare TI (lab), C. Țurcan, 219/4a</v>
      </c>
      <c r="D43" s="12" t="str">
        <f ca="1">IFERROR(__xludf.DUMMYFUNCTION("""COMPUTED_VALUE""")," I: POO (lab), 
A. Arnaut, 216a/4a
 II: Javascript (lab), 
A. Donu, 218/4a")</f>
        <v xml:space="preserve"> I: POO (lab), 
A. Arnaut, 216a/4a
 II: Javascript (lab), 
A. Donu, 218/4a</v>
      </c>
      <c r="E43" s="12"/>
      <c r="F43" s="12" t="str">
        <f ca="1">IFERROR(__xludf.DUMMYFUNCTION("""COMPUTED_VALUE"""),"Psih. (sem), V. Miron, 415/4")</f>
        <v>Psih. (sem), V. Miron, 415/4</v>
      </c>
      <c r="G43" s="13"/>
      <c r="H43" s="14" t="str">
        <f ca="1">IFERROR(__xludf.DUMMYFUNCTION("""COMPUTED_VALUE"""),"Politologie (sem), 
 R. Svetlicinîi, 407/4")</f>
        <v>Politologie (sem), 
 R. Svetlicinîi, 407/4</v>
      </c>
      <c r="I43" s="12" t="str">
        <f ca="1">IFERROR(__xludf.DUMMYFUNCTION("""COMPUTED_VALUE"""),"Politologie (sem), 
 R. Svetlicinîi, 407/4")</f>
        <v>Politologie (sem), 
 R. Svetlicinîi, 407/4</v>
      </c>
      <c r="J43" s="12" t="str">
        <f ca="1">IFERROR(__xludf.DUMMYFUNCTION("""COMPUTED_VALUE"""),"Politologie (sem), 
 R. Svetlicinîi, 407/4")</f>
        <v>Politologie (sem), 
 R. Svetlicinîi, 407/4</v>
      </c>
      <c r="K43" s="13" t="str">
        <f ca="1">IFERROR(__xludf.DUMMYFUNCTION("""COMPUTED_VALUE"""),"Politologie (sem), 
 T. Turco, 419/4")</f>
        <v>Politologie (sem), 
 T. Turco, 419/4</v>
      </c>
      <c r="L43" s="14"/>
      <c r="M43" s="13"/>
    </row>
    <row r="44" spans="1:13" ht="52.8" x14ac:dyDescent="0.25">
      <c r="A44" s="37"/>
      <c r="B44" s="11" t="str">
        <f ca="1">IFERROR(__xludf.DUMMYFUNCTION("""COMPUTED_VALUE"""),"II
16:45-18:15")</f>
        <v>II
16:45-18:15</v>
      </c>
      <c r="C44" s="12" t="str">
        <f ca="1">IFERROR(__xludf.DUMMYFUNCTION("""COMPUTED_VALUE"""),"Analiza matem. (prel), V. Guțu, 415/4")</f>
        <v>Analiza matem. (prel), V. Guțu, 415/4</v>
      </c>
      <c r="D44" s="12" t="str">
        <f ca="1">IFERROR(__xludf.DUMMYFUNCTION("""COMPUTED_VALUE""")," I: Javascript (lab), 
A. Donu, 218/a4
 II: POO (lab), 
A. Arnaut, 216a4a")</f>
        <v xml:space="preserve"> I: Javascript (lab), 
A. Donu, 218/a4
 II: POO (lab), 
A. Arnaut, 216a4a</v>
      </c>
      <c r="E44" s="12"/>
      <c r="F44" s="12" t="str">
        <f ca="1">IFERROR(__xludf.DUMMYFUNCTION("""COMPUTED_VALUE"""),"POO (lab), 
A. Arnaut, 216a/4a")</f>
        <v>POO (lab), 
A. Arnaut, 216a/4a</v>
      </c>
      <c r="G44" s="13"/>
      <c r="H44" s="14" t="str">
        <f ca="1">IFERROR(__xludf.DUMMYFUNCTION("""COMPUTED_VALUE"""),"Politologie (sem), 
 R. Svetlicinîi, 407/4")</f>
        <v>Politologie (sem), 
 R. Svetlicinîi, 407/4</v>
      </c>
      <c r="I44" s="12" t="str">
        <f ca="1">IFERROR(__xludf.DUMMYFUNCTION("""COMPUTED_VALUE"""),"Politologie (sem), 
 R. Svetlicinîi, 407/4")</f>
        <v>Politologie (sem), 
 R. Svetlicinîi, 407/4</v>
      </c>
      <c r="J44" s="12" t="str">
        <f ca="1">IFERROR(__xludf.DUMMYFUNCTION("""COMPUTED_VALUE"""),"Politologie (sem), 
 R. Svetlicinîi, 407/4")</f>
        <v>Politologie (sem), 
 R. Svetlicinîi, 407/4</v>
      </c>
      <c r="K44" s="13" t="str">
        <f ca="1">IFERROR(__xludf.DUMMYFUNCTION("""COMPUTED_VALUE"""),"Politologie (sem), 
 T. Turco, 419/4")</f>
        <v>Politologie (sem), 
 T. Turco, 419/4</v>
      </c>
      <c r="L44" s="14" t="str">
        <f ca="1">IFERROR(__xludf.DUMMYFUNCTION("""COMPUTED_VALUE"""),"Spring (prel), 
M. Dodi, 213a/4")</f>
        <v>Spring (prel), 
M. Dodi, 213a/4</v>
      </c>
      <c r="M44" s="13"/>
    </row>
    <row r="45" spans="1:13" ht="53.4" thickBot="1" x14ac:dyDescent="0.3">
      <c r="A45" s="38"/>
      <c r="B45" s="4" t="str">
        <f ca="1">IFERROR(__xludf.DUMMYFUNCTION("""COMPUTED_VALUE""")," III
18:30-20:00")</f>
        <v xml:space="preserve"> III
18:30-20:00</v>
      </c>
      <c r="C45" s="15" t="str">
        <f ca="1">IFERROR(__xludf.DUMMYFUNCTION("""COMPUTED_VALUE"""),"Analiza matem. (prel), V. Guțu, 415/4")</f>
        <v>Analiza matem. (prel), V. Guțu, 415/4</v>
      </c>
      <c r="D45" s="15" t="str">
        <f ca="1">IFERROR(__xludf.DUMMYFUNCTION("""COMPUTED_VALUE""")," I: Javascript (lab), 
A. Donu, 218/4a
 II: POO (lab), 
A. Arnaut, 216a/4a")</f>
        <v xml:space="preserve"> I: Javascript (lab), 
A. Donu, 218/4a
 II: POO (lab), 
A. Arnaut, 216a/4a</v>
      </c>
      <c r="E45" s="15"/>
      <c r="F45" s="15" t="str">
        <f ca="1">IFERROR(__xludf.DUMMYFUNCTION("""COMPUTED_VALUE"""),"POO (lab), 
A. Arnaut, 216a/4a")</f>
        <v>POO (lab), 
A. Arnaut, 216a/4a</v>
      </c>
      <c r="G45" s="16"/>
      <c r="H45" s="17"/>
      <c r="I45" s="15"/>
      <c r="J45" s="15" t="str">
        <f ca="1">IFERROR(__xludf.DUMMYFUNCTION("""COMPUTED_VALUE"""),"Pedagogie (sem), 
V. Clichici, 419/4")</f>
        <v>Pedagogie (sem), 
V. Clichici, 419/4</v>
      </c>
      <c r="K45" s="16"/>
      <c r="L45" s="17" t="str">
        <f ca="1">IFERROR(__xludf.DUMMYFUNCTION("""COMPUTED_VALUE"""),"Spring (prel), 
M. Dodi, 213a/4")</f>
        <v>Spring (prel), 
M. Dodi, 213a/4</v>
      </c>
      <c r="M45" s="16"/>
    </row>
    <row r="46" spans="1:13" ht="40.200000000000003" thickTop="1" x14ac:dyDescent="0.25">
      <c r="A46" s="36" t="str">
        <f ca="1">IFERROR(__xludf.DUMMYFUNCTION("""COMPUTED_VALUE"""),"Miercuri,
20.05.2026")</f>
        <v>Miercuri,
20.05.2026</v>
      </c>
      <c r="B46" s="18" t="str">
        <f ca="1">IFERROR(__xludf.DUMMYFUNCTION("""COMPUTED_VALUE"""),"13:15-14:45")</f>
        <v>13:15-14:45</v>
      </c>
      <c r="C46" s="19" t="str">
        <f ca="1">IFERROR(__xludf.DUMMYFUNCTION("""COMPUTED_VALUE"""),"Structuri algebrice (sem), P. Sârbu, 415/4")</f>
        <v>Structuri algebrice (sem), P. Sârbu, 415/4</v>
      </c>
      <c r="D46" s="19"/>
      <c r="E46" s="19"/>
      <c r="F46" s="19"/>
      <c r="G46" s="20"/>
      <c r="H46" s="21"/>
      <c r="I46" s="19"/>
      <c r="J46" s="19"/>
      <c r="K46" s="20"/>
      <c r="L46" s="21"/>
      <c r="M46" s="20"/>
    </row>
    <row r="47" spans="1:13" ht="26.4" x14ac:dyDescent="0.25">
      <c r="A47" s="37"/>
      <c r="B47" s="11" t="str">
        <f ca="1">IFERROR(__xludf.DUMMYFUNCTION("""COMPUTED_VALUE""")," I
15:00-16:30")</f>
        <v xml:space="preserve"> I
15:00-16:30</v>
      </c>
      <c r="C47" s="12" t="str">
        <f ca="1">IFERROR(__xludf.DUMMYFUNCTION("""COMPUTED_VALUE"""),"Alg. graf. (prel), A. Niculiță, 415/4")</f>
        <v>Alg. graf. (prel), A. Niculiță, 415/4</v>
      </c>
      <c r="D47" s="12"/>
      <c r="E47" s="12"/>
      <c r="F47" s="12"/>
      <c r="G47" s="13"/>
      <c r="H47" s="14" t="str">
        <f ca="1">IFERROR(__xludf.DUMMYFUNCTION("""COMPUTED_VALUE"""),"Alg. str. date (lab), 
O. Cerbu, 237/4")</f>
        <v>Alg. str. date (lab), 
O. Cerbu, 237/4</v>
      </c>
      <c r="I47" s="12"/>
      <c r="J47" s="12" t="str">
        <f ca="1">IFERROR(__xludf.DUMMYFUNCTION("""COMPUTED_VALUE"""),"Pedagogie (sem), 
V. Clichici, 419/4")</f>
        <v>Pedagogie (sem), 
V. Clichici, 419/4</v>
      </c>
      <c r="K47" s="13"/>
      <c r="L47" s="14"/>
      <c r="M47" s="13"/>
    </row>
    <row r="48" spans="1:13" ht="52.8" x14ac:dyDescent="0.25">
      <c r="A48" s="37"/>
      <c r="B48" s="11" t="str">
        <f ca="1">IFERROR(__xludf.DUMMYFUNCTION("""COMPUTED_VALUE""")," II
16:45-18:15")</f>
        <v xml:space="preserve"> II
16:45-18:15</v>
      </c>
      <c r="C48" s="12" t="str">
        <f ca="1">IFERROR(__xludf.DUMMYFUNCTION("""COMPUTED_VALUE"""),"Alg. graf. (prel), A. Niculiță, 415/4")</f>
        <v>Alg. graf. (prel), A. Niculiță, 415/4</v>
      </c>
      <c r="D48" s="12"/>
      <c r="E48" s="12"/>
      <c r="F48" s="12" t="str">
        <f ca="1">IFERROR(__xludf.DUMMYFUNCTION("""COMPUTED_VALUE"""),"Psih. (prel), V. Miron, 214/4")</f>
        <v>Psih. (prel), V. Miron, 214/4</v>
      </c>
      <c r="G48" s="13" t="str">
        <f ca="1">IFERROR(__xludf.DUMMYFUNCTION("""COMPUTED_VALUE""")," I: POO (lab), 
Gh. Latul, 143/4
 II. Javascript (lab), 
N. Nartea, 350/4")</f>
        <v xml:space="preserve"> I: POO (lab), 
Gh. Latul, 143/4
 II. Javascript (lab), 
N. Nartea, 350/4</v>
      </c>
      <c r="H48" s="14" t="str">
        <f ca="1">IFERROR(__xludf.DUMMYFUNCTION("""COMPUTED_VALUE"""),"GA 2D (lab), 
E-M. Arseni, 237/4")</f>
        <v>GA 2D (lab), 
E-M. Arseni, 237/4</v>
      </c>
      <c r="I48" s="12"/>
      <c r="J48" s="12" t="str">
        <f ca="1">IFERROR(__xludf.DUMMYFUNCTION("""COMPUTED_VALUE"""),"Ed. compl. (sem), 
M. Valic, 419/4")</f>
        <v>Ed. compl. (sem), 
M. Valic, 419/4</v>
      </c>
      <c r="K48" s="13" t="str">
        <f ca="1">IFERROR(__xludf.DUMMYFUNCTION("""COMPUTED_VALUE"""),"Proiect. SI. (lab), 
A. Gladei, 145a/4")</f>
        <v>Proiect. SI. (lab), 
A. Gladei, 145a/4</v>
      </c>
      <c r="L48" s="14" t="str">
        <f ca="1">IFERROR(__xludf.DUMMYFUNCTION("""COMPUTED_VALUE"""),"Dezv. apl. mob. (prel), 
C. Crudu, 326/4")</f>
        <v>Dezv. apl. mob. (prel), 
C. Crudu, 326/4</v>
      </c>
      <c r="M48" s="13" t="str">
        <f ca="1">IFERROR(__xludf.DUMMYFUNCTION("""COMPUTED_VALUE"""),"Design soft. (prel), 
A. Curmanschii, 423/4")</f>
        <v>Design soft. (prel), 
A. Curmanschii, 423/4</v>
      </c>
    </row>
    <row r="49" spans="1:13" ht="53.4" thickBot="1" x14ac:dyDescent="0.3">
      <c r="A49" s="38"/>
      <c r="B49" s="4" t="str">
        <f ca="1">IFERROR(__xludf.DUMMYFUNCTION("""COMPUTED_VALUE"""),"III
 18:30-20:00")</f>
        <v>III
 18:30-20:00</v>
      </c>
      <c r="C49" s="15"/>
      <c r="D49" s="15"/>
      <c r="E49" s="15"/>
      <c r="F49" s="15" t="str">
        <f ca="1">IFERROR(__xludf.DUMMYFUNCTION("""COMPUTED_VALUE"""),"Psih. (prel), V. Miron, 214/4")</f>
        <v>Psih. (prel), V. Miron, 214/4</v>
      </c>
      <c r="G49" s="16" t="str">
        <f ca="1">IFERROR(__xludf.DUMMYFUNCTION("""COMPUTED_VALUE""")," I. Javascript (lab), 
N. Nartea, 350/4
 II: POO (lab), 
Gh. Latul, 143/4")</f>
        <v xml:space="preserve"> I. Javascript (lab), 
N. Nartea, 350/4
 II: POO (lab), 
Gh. Latul, 143/4</v>
      </c>
      <c r="H49" s="17" t="str">
        <f ca="1">IFERROR(__xludf.DUMMYFUNCTION("""COMPUTED_VALUE"""),"GA 2D (lab), 
E-M. Arseni, 237/4")</f>
        <v>GA 2D (lab), 
E-M. Arseni, 237/4</v>
      </c>
      <c r="I49" s="15"/>
      <c r="J49" s="15" t="str">
        <f ca="1">IFERROR(__xludf.DUMMYFUNCTION("""COMPUTED_VALUE"""),"Ed. compl. (sem), 
M. Valic, 419/4")</f>
        <v>Ed. compl. (sem), 
M. Valic, 419/4</v>
      </c>
      <c r="K49" s="16" t="str">
        <f ca="1">IFERROR(__xludf.DUMMYFUNCTION("""COMPUTED_VALUE"""),"Proiect. SI. (lab), 
A. Gladei, 145a/4")</f>
        <v>Proiect. SI. (lab), 
A. Gladei, 145a/4</v>
      </c>
      <c r="L49" s="17" t="str">
        <f ca="1">IFERROR(__xludf.DUMMYFUNCTION("""COMPUTED_VALUE"""),"Dezv. apl. mob. (prel), 
C. Crudu, 326/4")</f>
        <v>Dezv. apl. mob. (prel), 
C. Crudu, 326/4</v>
      </c>
      <c r="M49" s="16" t="str">
        <f ca="1">IFERROR(__xludf.DUMMYFUNCTION("""COMPUTED_VALUE"""),"Design soft. (prel), 
A. Curmanschii, 423/4")</f>
        <v>Design soft. (prel), 
A. Curmanschii, 423/4</v>
      </c>
    </row>
    <row r="50" spans="1:13" ht="27" thickTop="1" x14ac:dyDescent="0.25">
      <c r="A50" s="36" t="str">
        <f ca="1">IFERROR(__xludf.DUMMYFUNCTION("""COMPUTED_VALUE"""),"Joi,
21.05.2026")</f>
        <v>Joi,
21.05.2026</v>
      </c>
      <c r="B50" s="18" t="str">
        <f ca="1">IFERROR(__xludf.DUMMYFUNCTION("""COMPUTED_VALUE"""),"13:15-14:45")</f>
        <v>13:15-14:45</v>
      </c>
      <c r="C50" s="19" t="str">
        <f ca="1">IFERROR(__xludf.DUMMYFUNCTION("""COMPUTED_VALUE"""),"Python (prel), B. Hâncu, 239/4")</f>
        <v>Python (prel), B. Hâncu, 239/4</v>
      </c>
      <c r="D50" s="19"/>
      <c r="E50" s="19"/>
      <c r="F50" s="19"/>
      <c r="G50" s="20"/>
      <c r="H50" s="21"/>
      <c r="I50" s="19"/>
      <c r="J50" s="19"/>
      <c r="K50" s="20"/>
      <c r="L50" s="21"/>
      <c r="M50" s="20"/>
    </row>
    <row r="51" spans="1:13" ht="52.8" x14ac:dyDescent="0.25">
      <c r="A51" s="37"/>
      <c r="B51" s="11" t="str">
        <f ca="1">IFERROR(__xludf.DUMMYFUNCTION("""COMPUTED_VALUE""")," I
15:00-16:30")</f>
        <v xml:space="preserve"> I
15:00-16:30</v>
      </c>
      <c r="C51" s="12" t="str">
        <f ca="1">IFERROR(__xludf.DUMMYFUNCTION("""COMPUTED_VALUE"""),"Python (prel), B. Hâncu, 239/4")</f>
        <v>Python (prel), B. Hâncu, 239/4</v>
      </c>
      <c r="D51" s="12"/>
      <c r="E51" s="12" t="str">
        <f ca="1">IFERROR(__xludf.DUMMYFUNCTION("""COMPUTED_VALUE""")," I: POO (lab), 
A. Arnaut, 219/4a
 II: Javascript (lab), 
A. Donu, 218/4a")</f>
        <v xml:space="preserve"> I: POO (lab), 
A. Arnaut, 219/4a
 II: Javascript (lab), 
A. Donu, 218/4a</v>
      </c>
      <c r="F51" s="12"/>
      <c r="G51" s="13"/>
      <c r="H51" s="14"/>
      <c r="I51" s="12"/>
      <c r="J51" s="12" t="str">
        <f ca="1">IFERROR(__xludf.DUMMYFUNCTION("""COMPUTED_VALUE"""),"Ed. compl. (sem), 
M. Valic, 419/4")</f>
        <v>Ed. compl. (sem), 
M. Valic, 419/4</v>
      </c>
      <c r="K51" s="13"/>
      <c r="L51" s="14" t="str">
        <f ca="1">IFERROR(__xludf.DUMMYFUNCTION("""COMPUTED_VALUE""")," I: IA (lab), 
T. Bumbu, 423/4")</f>
        <v xml:space="preserve"> I: IA (lab), 
T. Bumbu, 423/4</v>
      </c>
      <c r="M51" s="13"/>
    </row>
    <row r="52" spans="1:13" ht="52.8" x14ac:dyDescent="0.25">
      <c r="A52" s="37"/>
      <c r="B52" s="11" t="str">
        <f ca="1">IFERROR(__xludf.DUMMYFUNCTION("""COMPUTED_VALUE"""),"II
 16:45-18:15")</f>
        <v>II
 16:45-18:15</v>
      </c>
      <c r="C52" s="12" t="str">
        <f ca="1">IFERROR(__xludf.DUMMYFUNCTION("""COMPUTED_VALUE"""),"Topol. teor. mas. (sem), P. Efros, 415/4")</f>
        <v>Topol. teor. mas. (sem), P. Efros, 415/4</v>
      </c>
      <c r="D52" s="12"/>
      <c r="E52" s="12" t="str">
        <f ca="1">IFERROR(__xludf.DUMMYFUNCTION("""COMPUTED_VALUE""")," I: Javascript (lab), 
A. Donu, 218/4a
 II: POO (lab), 
A. Arnaut, 219/4a")</f>
        <v xml:space="preserve"> I: Javascript (lab), 
A. Donu, 218/4a
 II: POO (lab), 
A. Arnaut, 219/4a</v>
      </c>
      <c r="F52" s="12" t="str">
        <f ca="1">IFERROR(__xludf.DUMMYFUNCTION("""COMPUTED_VALUE"""),"Psih. v. (prel), V. Miron, 214/4")</f>
        <v>Psih. v. (prel), V. Miron, 214/4</v>
      </c>
      <c r="G52" s="13"/>
      <c r="H52" s="14" t="str">
        <f ca="1">IFERROR(__xludf.DUMMYFUNCTION("""COMPUTED_VALUE"""),"Proiect. SI. (lab), 
A. Gladei, 143/4")</f>
        <v>Proiect. SI. (lab), 
A. Gladei, 143/4</v>
      </c>
      <c r="I52" s="12" t="str">
        <f ca="1">IFERROR(__xludf.DUMMYFUNCTION("""COMPUTED_VALUE"""),"Design UI/UX (lab), 
E. Mîndru, 326/4")</f>
        <v>Design UI/UX (lab), 
E. Mîndru, 326/4</v>
      </c>
      <c r="J52" s="12" t="str">
        <f ca="1">IFERROR(__xludf.DUMMYFUNCTION("""COMPUTED_VALUE"""),"Pedagogie (prel), 
V. Clichici, 419/4")</f>
        <v>Pedagogie (prel), 
V. Clichici, 419/4</v>
      </c>
      <c r="K52" s="13"/>
      <c r="L52" s="14" t="str">
        <f ca="1">IFERROR(__xludf.DUMMYFUNCTION("""COMPUTED_VALUE"""),"IA (prel), 
T. Bumbu, 423/4")</f>
        <v>IA (prel), 
T. Bumbu, 423/4</v>
      </c>
      <c r="M52" s="13" t="str">
        <f ca="1">IFERROR(__xludf.DUMMYFUNCTION("""COMPUTED_VALUE"""),"Cloud comp. (lab), 
N. Nartea, 350/4")</f>
        <v>Cloud comp. (lab), 
N. Nartea, 350/4</v>
      </c>
    </row>
    <row r="53" spans="1:13" ht="53.4" thickBot="1" x14ac:dyDescent="0.3">
      <c r="A53" s="38"/>
      <c r="B53" s="4" t="str">
        <f ca="1">IFERROR(__xludf.DUMMYFUNCTION("""COMPUTED_VALUE"""),"III
 18:30-20:00")</f>
        <v>III
 18:30-20:00</v>
      </c>
      <c r="C53" s="15" t="str">
        <f ca="1">IFERROR(__xludf.DUMMYFUNCTION("""COMPUTED_VALUE"""),"Topol. teor. mas. (sem), P. Efros, 415/4")</f>
        <v>Topol. teor. mas. (sem), P. Efros, 415/4</v>
      </c>
      <c r="D53" s="15"/>
      <c r="E53" s="15" t="str">
        <f ca="1">IFERROR(__xludf.DUMMYFUNCTION("""COMPUTED_VALUE""")," I: Javascript (lab), 
A. Donu, 218/4a
 II: POO (lab), 
A. Arnaut, 219/4a")</f>
        <v xml:space="preserve"> I: Javascript (lab), 
A. Donu, 218/4a
 II: POO (lab), 
A. Arnaut, 219/4a</v>
      </c>
      <c r="F53" s="15" t="str">
        <f ca="1">IFERROR(__xludf.DUMMYFUNCTION("""COMPUTED_VALUE"""),"Psih. v. (prel), V. Miron, 214/4")</f>
        <v>Psih. v. (prel), V. Miron, 214/4</v>
      </c>
      <c r="G53" s="16"/>
      <c r="H53" s="17" t="str">
        <f ca="1">IFERROR(__xludf.DUMMYFUNCTION("""COMPUTED_VALUE"""),"Proiect. SI. (lab), 
A. Gladei, 143/4")</f>
        <v>Proiect. SI. (lab), 
A. Gladei, 143/4</v>
      </c>
      <c r="I53" s="15" t="str">
        <f ca="1">IFERROR(__xludf.DUMMYFUNCTION("""COMPUTED_VALUE"""),"Design UI/UX (lab), 
E. Mîndru, 326/4")</f>
        <v>Design UI/UX (lab), 
E. Mîndru, 326/4</v>
      </c>
      <c r="J53" s="15" t="str">
        <f ca="1">IFERROR(__xludf.DUMMYFUNCTION("""COMPUTED_VALUE"""),"Pedagogie (prel), 
V. Clichici, 419/4")</f>
        <v>Pedagogie (prel), 
V. Clichici, 419/4</v>
      </c>
      <c r="K53" s="16"/>
      <c r="L53" s="17" t="str">
        <f ca="1">IFERROR(__xludf.DUMMYFUNCTION("""COMPUTED_VALUE"""),"IA (prel), 
T. Bumbu, 423/4")</f>
        <v>IA (prel), 
T. Bumbu, 423/4</v>
      </c>
      <c r="M53" s="16" t="str">
        <f ca="1">IFERROR(__xludf.DUMMYFUNCTION("""COMPUTED_VALUE"""),"Cloud comp. (lab), 
N. Nartea, 350/4")</f>
        <v>Cloud comp. (lab), 
N. Nartea, 350/4</v>
      </c>
    </row>
    <row r="54" spans="1:13" ht="27" thickTop="1" x14ac:dyDescent="0.25">
      <c r="A54" s="36" t="str">
        <f ca="1">IFERROR(__xludf.DUMMYFUNCTION("""COMPUTED_VALUE"""),"Vineri,
22.05.2026")</f>
        <v>Vineri,
22.05.2026</v>
      </c>
      <c r="B54" s="18" t="str">
        <f ca="1">IFERROR(__xludf.DUMMYFUNCTION("""COMPUTED_VALUE"""),"13:15-14:45")</f>
        <v>13:15-14:45</v>
      </c>
      <c r="C54" s="19" t="str">
        <f ca="1">IFERROR(__xludf.DUMMYFUNCTION("""COMPUTED_VALUE"""),"Alg. graf. (lab), A. Niculiță, 239/4")</f>
        <v>Alg. graf. (lab), A. Niculiță, 239/4</v>
      </c>
      <c r="D54" s="19"/>
      <c r="E54" s="19"/>
      <c r="F54" s="19"/>
      <c r="G54" s="20"/>
      <c r="H54" s="21"/>
      <c r="I54" s="19"/>
      <c r="J54" s="19"/>
      <c r="K54" s="20"/>
      <c r="L54" s="21"/>
      <c r="M54" s="20"/>
    </row>
    <row r="55" spans="1:13" ht="26.4" x14ac:dyDescent="0.25">
      <c r="A55" s="37"/>
      <c r="B55" s="11" t="str">
        <f ca="1">IFERROR(__xludf.DUMMYFUNCTION("""COMPUTED_VALUE""")," I
15:00-16:30")</f>
        <v xml:space="preserve"> I
15:00-16:30</v>
      </c>
      <c r="C55" s="12" t="str">
        <f ca="1">IFERROR(__xludf.DUMMYFUNCTION("""COMPUTED_VALUE"""),"Alg. graf. (lab), A. Niculiță, 239/4")</f>
        <v>Alg. graf. (lab), A. Niculiță, 239/4</v>
      </c>
      <c r="D55" s="12"/>
      <c r="E55" s="12"/>
      <c r="F55" s="12"/>
      <c r="G55" s="13"/>
      <c r="H55" s="14" t="str">
        <f ca="1">IFERROR(__xludf.DUMMYFUNCTION("""COMPUTED_VALUE"""),"Politologie (sem), 
 R. Svetlicinîi, 407/4")</f>
        <v>Politologie (sem), 
 R. Svetlicinîi, 407/4</v>
      </c>
      <c r="I55" s="12" t="str">
        <f ca="1">IFERROR(__xludf.DUMMYFUNCTION("""COMPUTED_VALUE"""),"Politologie (sem), 
 R. Svetlicinîi, 407/4")</f>
        <v>Politologie (sem), 
 R. Svetlicinîi, 407/4</v>
      </c>
      <c r="J55" s="12" t="str">
        <f ca="1">IFERROR(__xludf.DUMMYFUNCTION("""COMPUTED_VALUE"""),"Politologie (sem), 
 R. Svetlicinîi, 407/4")</f>
        <v>Politologie (sem), 
 R. Svetlicinîi, 407/4</v>
      </c>
      <c r="K55" s="13" t="str">
        <f ca="1">IFERROR(__xludf.DUMMYFUNCTION("""COMPUTED_VALUE"""),"Politologie (sem), 
 T. Turco, 401/4")</f>
        <v>Politologie (sem), 
 T. Turco, 401/4</v>
      </c>
      <c r="L55" s="14"/>
      <c r="M55" s="13"/>
    </row>
    <row r="56" spans="1:13" ht="52.8" x14ac:dyDescent="0.25">
      <c r="A56" s="37"/>
      <c r="B56" s="11" t="str">
        <f ca="1">IFERROR(__xludf.DUMMYFUNCTION("""COMPUTED_VALUE"""),"II
 16:45-18:15")</f>
        <v>II
 16:45-18:15</v>
      </c>
      <c r="C56" s="12" t="str">
        <f ca="1">IFERROR(__xludf.DUMMYFUNCTION("""COMPUTED_VALUE"""),"Analiza matem. (sem), V. Guțu, 415/4")</f>
        <v>Analiza matem. (sem), V. Guțu, 415/4</v>
      </c>
      <c r="D56" s="12"/>
      <c r="E56" s="12"/>
      <c r="F56" s="12" t="str">
        <f ca="1">IFERROR(__xludf.DUMMYFUNCTION("""COMPUTED_VALUE"""),"Psih. (sem), V. Miron, 214/4")</f>
        <v>Psih. (sem), V. Miron, 214/4</v>
      </c>
      <c r="G56" s="13" t="str">
        <f ca="1">IFERROR(__xludf.DUMMYFUNCTION("""COMPUTED_VALUE""")," I. Javascript (lab), 
N. Nartea, 350/4
 II: POO (lab), 
Gh. Latul, 326/4")</f>
        <v xml:space="preserve"> I. Javascript (lab), 
N. Nartea, 350/4
 II: POO (lab), 
Gh. Latul, 326/4</v>
      </c>
      <c r="H56" s="14" t="str">
        <f ca="1">IFERROR(__xludf.DUMMYFUNCTION("""COMPUTED_VALUE"""),"Politologie (sem), 
 R. Svetlicinîi, 407/4")</f>
        <v>Politologie (sem), 
 R. Svetlicinîi, 407/4</v>
      </c>
      <c r="I56" s="12" t="str">
        <f ca="1">IFERROR(__xludf.DUMMYFUNCTION("""COMPUTED_VALUE"""),"Politologie (sem), 
 R. Svetlicinîi, 407/4")</f>
        <v>Politologie (sem), 
 R. Svetlicinîi, 407/4</v>
      </c>
      <c r="J56" s="12" t="str">
        <f ca="1">IFERROR(__xludf.DUMMYFUNCTION("""COMPUTED_VALUE"""),"Politologie (sem), 
 R. Svetlicinîi, 407/4")</f>
        <v>Politologie (sem), 
 R. Svetlicinîi, 407/4</v>
      </c>
      <c r="K56" s="13" t="str">
        <f ca="1">IFERROR(__xludf.DUMMYFUNCTION("""COMPUTED_VALUE"""),"Politologie (sem), 
 T. Turco, 401/4")</f>
        <v>Politologie (sem), 
 T. Turco, 401/4</v>
      </c>
      <c r="L56" s="14" t="str">
        <f ca="1">IFERROR(__xludf.DUMMYFUNCTION("""COMPUTED_VALUE"""),"Spring (lab), 
M. Dodi, 237/4")</f>
        <v>Spring (lab), 
M. Dodi, 237/4</v>
      </c>
      <c r="M56" s="13" t="str">
        <f ca="1">IFERROR(__xludf.DUMMYFUNCTION("""COMPUTED_VALUE"""),"Design soft. (lab), 
A. Curmanschii, 423/4")</f>
        <v>Design soft. (lab), 
A. Curmanschii, 423/4</v>
      </c>
    </row>
    <row r="57" spans="1:13" ht="53.4" thickBot="1" x14ac:dyDescent="0.3">
      <c r="A57" s="38"/>
      <c r="B57" s="4" t="str">
        <f ca="1">IFERROR(__xludf.DUMMYFUNCTION("""COMPUTED_VALUE"""),"III
 18:30-20:00")</f>
        <v>III
 18:30-20:00</v>
      </c>
      <c r="C57" s="15" t="str">
        <f ca="1">IFERROR(__xludf.DUMMYFUNCTION("""COMPUTED_VALUE"""),"Analiza matem. (sem), V. Guțu, 415/4")</f>
        <v>Analiza matem. (sem), V. Guțu, 415/4</v>
      </c>
      <c r="D57" s="15"/>
      <c r="E57" s="15"/>
      <c r="F57" s="15" t="str">
        <f ca="1">IFERROR(__xludf.DUMMYFUNCTION("""COMPUTED_VALUE"""),"Psih. (sem), V. Miron, 214/4")</f>
        <v>Psih. (sem), V. Miron, 214/4</v>
      </c>
      <c r="G57" s="16" t="str">
        <f ca="1">IFERROR(__xludf.DUMMYFUNCTION("""COMPUTED_VALUE""")," I. Javascript (lab), 
N. Nartea, 350/4
 II: POO (lab), 
Gh. Latul, 326/4")</f>
        <v xml:space="preserve"> I. Javascript (lab), 
N. Nartea, 350/4
 II: POO (lab), 
Gh. Latul, 326/4</v>
      </c>
      <c r="H57" s="17"/>
      <c r="I57" s="15"/>
      <c r="J57" s="15" t="str">
        <f ca="1">IFERROR(__xludf.DUMMYFUNCTION("""COMPUTED_VALUE"""),"Pedagogie (sem), 
V. Clichici, 419/4")</f>
        <v>Pedagogie (sem), 
V. Clichici, 419/4</v>
      </c>
      <c r="K57" s="16"/>
      <c r="L57" s="17" t="str">
        <f ca="1">IFERROR(__xludf.DUMMYFUNCTION("""COMPUTED_VALUE"""),"Spring (lab), 
M. Dodi, 237/4")</f>
        <v>Spring (lab), 
M. Dodi, 237/4</v>
      </c>
      <c r="M57" s="16" t="str">
        <f ca="1">IFERROR(__xludf.DUMMYFUNCTION("""COMPUTED_VALUE"""),"Design soft. (lab), 
A. Curmanschii, 423/4")</f>
        <v>Design soft. (lab), 
A. Curmanschii, 423/4</v>
      </c>
    </row>
    <row r="58" spans="1:13" ht="66.599999999999994" thickTop="1" x14ac:dyDescent="0.25">
      <c r="A58" s="36" t="str">
        <f ca="1">IFERROR(__xludf.DUMMYFUNCTION("""COMPUTED_VALUE"""),"Sîmbătă,
23.05.2026")</f>
        <v>Sîmbătă,
23.05.2026</v>
      </c>
      <c r="B58" s="18" t="str">
        <f ca="1">IFERROR(__xludf.DUMMYFUNCTION("""COMPUTED_VALUE"""),"I
 08:00-9:30")</f>
        <v>I
 08:00-9:30</v>
      </c>
      <c r="C58" s="19"/>
      <c r="D58" s="19" t="str">
        <f ca="1">IFERROR(__xludf.DUMMYFUNCTION("""COMPUTED_VALUE""")," I. Rețele de calc. (lab), 
I. Tican, 237/4
 II. Python (lab), 
V. Trebiș, 251/4")</f>
        <v xml:space="preserve"> I. Rețele de calc. (lab), 
I. Tican, 237/4
 II. Python (lab), 
V. Trebiș, 251/4</v>
      </c>
      <c r="E58" s="19"/>
      <c r="F58" s="19"/>
      <c r="G58" s="20"/>
      <c r="H58" s="21"/>
      <c r="I58" s="19"/>
      <c r="J58" s="19"/>
      <c r="K58" s="20"/>
      <c r="L58" s="21"/>
      <c r="M58" s="20"/>
    </row>
    <row r="59" spans="1:13" ht="66" x14ac:dyDescent="0.25">
      <c r="A59" s="37"/>
      <c r="B59" s="11" t="str">
        <f ca="1">IFERROR(__xludf.DUMMYFUNCTION("""COMPUTED_VALUE"""),"II
 09:45-11:15")</f>
        <v>II
 09:45-11:15</v>
      </c>
      <c r="C59" s="12" t="str">
        <f ca="1">IFERROR(__xludf.DUMMYFUNCTION("""COMPUTED_VALUE"""),"Structuri algebrice (prel), P. Sârbu, 415/4")</f>
        <v>Structuri algebrice (prel), P. Sârbu, 415/4</v>
      </c>
      <c r="D59" s="12" t="str">
        <f ca="1">IFERROR(__xludf.DUMMYFUNCTION("""COMPUTED_VALUE""")," I. Rețele de calc. (lab), 
I. Tican, 237/4
 II. Python (lab), 
V. Trebiș, 251/4")</f>
        <v xml:space="preserve"> I. Rețele de calc. (lab), 
I. Tican, 237/4
 II. Python (lab), 
V. Trebiș, 251/4</v>
      </c>
      <c r="E59" s="12"/>
      <c r="F59" s="12"/>
      <c r="G59" s="13"/>
      <c r="H59" s="14"/>
      <c r="I59" s="12"/>
      <c r="J59" s="12"/>
      <c r="K59" s="13" t="str">
        <f ca="1">IFERROR(__xludf.DUMMYFUNCTION("""COMPUTED_VALUE"""),"Design UI/UX (lab), 
V. Vișnevschi, 326/4")</f>
        <v>Design UI/UX (lab), 
V. Vișnevschi, 326/4</v>
      </c>
      <c r="L59" s="14" t="str">
        <f ca="1">IFERROR(__xludf.DUMMYFUNCTION("""COMPUTED_VALUE"""),"Design soft. (prel), 
G-C. Stănescu, 404/4")</f>
        <v>Design soft. (prel), 
G-C. Stănescu, 404/4</v>
      </c>
      <c r="M59" s="13" t="str">
        <f ca="1">IFERROR(__xludf.DUMMYFUNCTION("""COMPUTED_VALUE"""),"Spring (prel), 
M. Dodi, 214/4")</f>
        <v>Spring (prel), 
M. Dodi, 214/4</v>
      </c>
    </row>
    <row r="60" spans="1:13" ht="66" x14ac:dyDescent="0.25">
      <c r="A60" s="37"/>
      <c r="B60" s="11" t="str">
        <f ca="1">IFERROR(__xludf.DUMMYFUNCTION("""COMPUTED_VALUE"""),"III
 11:30-13:00")</f>
        <v>III
 11:30-13:00</v>
      </c>
      <c r="C60" s="12" t="str">
        <f ca="1">IFERROR(__xludf.DUMMYFUNCTION("""COMPUTED_VALUE"""),"Structuri algebrice (prel), P. Sârbu, 415/4")</f>
        <v>Structuri algebrice (prel), P. Sârbu, 415/4</v>
      </c>
      <c r="D60" s="12" t="str">
        <f ca="1">IFERROR(__xludf.DUMMYFUNCTION("""COMPUTED_VALUE""")," I. Python (lab), 
V. Trebiș, 251/4
 II. Rețele de calc. (lab), 
I. Tican, 237/4")</f>
        <v xml:space="preserve"> I. Python (lab), 
V. Trebiș, 251/4
 II. Rețele de calc. (lab), 
I. Tican, 237/4</v>
      </c>
      <c r="E60" s="12"/>
      <c r="F60" s="12" t="str">
        <f ca="1">IFERROR(__xludf.DUMMYFUNCTION("""COMPUTED_VALUE"""),"Rețele de calc. (lab), 
I. Tican, 237/4")</f>
        <v>Rețele de calc. (lab), 
I. Tican, 237/4</v>
      </c>
      <c r="G60" s="13"/>
      <c r="H60" s="14" t="str">
        <f ca="1">IFERROR(__xludf.DUMMYFUNCTION("""COMPUTED_VALUE"""),"Design UI/UX (lab), 
E. Mîndru, 219/4a")</f>
        <v>Design UI/UX (lab), 
E. Mîndru, 219/4a</v>
      </c>
      <c r="I60" s="12" t="str">
        <f ca="1">IFERROR(__xludf.DUMMYFUNCTION("""COMPUTED_VALUE"""),"Alg. str. date (lab), 
O. Cerbu, 145a/4")</f>
        <v>Alg. str. date (lab), 
O. Cerbu, 145a/4</v>
      </c>
      <c r="J60" s="12" t="str">
        <f ca="1">IFERROR(__xludf.DUMMYFUNCTION("""COMPUTED_VALUE"""),"Alg. str. date (lab), 
O. Cerbu, 145a/4")</f>
        <v>Alg. str. date (lab), 
O. Cerbu, 145a/4</v>
      </c>
      <c r="K60" s="13" t="str">
        <f ca="1">IFERROR(__xludf.DUMMYFUNCTION("""COMPUTED_VALUE"""),"Design UI/UX (lab), 
V. Vișnevschi, 326/4")</f>
        <v>Design UI/UX (lab), 
V. Vișnevschi, 326/4</v>
      </c>
      <c r="L60" s="14" t="str">
        <f ca="1">IFERROR(__xludf.DUMMYFUNCTION("""COMPUTED_VALUE"""),"Design soft. (prel), 
G-C. Stănescu, 404/4")</f>
        <v>Design soft. (prel), 
G-C. Stănescu, 404/4</v>
      </c>
      <c r="M60" s="13" t="str">
        <f ca="1">IFERROR(__xludf.DUMMYFUNCTION("""COMPUTED_VALUE"""),"Spring (prel), 
M. Dodi, 214/4")</f>
        <v>Spring (prel), 
M. Dodi, 214/4</v>
      </c>
    </row>
    <row r="61" spans="1:13" ht="66" x14ac:dyDescent="0.25">
      <c r="A61" s="37"/>
      <c r="B61" s="11" t="str">
        <f ca="1">IFERROR(__xludf.DUMMYFUNCTION("""COMPUTED_VALUE"""),"IV
 13:15-14:45")</f>
        <v>IV
 13:15-14:45</v>
      </c>
      <c r="C61" s="12"/>
      <c r="D61" s="12" t="str">
        <f ca="1">IFERROR(__xludf.DUMMYFUNCTION("""COMPUTED_VALUE""")," I. Python (lab), 
V. Trebiș, 251/4
 II. Rețele de calc. (lab), 
I. Tican, 237/4")</f>
        <v xml:space="preserve"> I. Python (lab), 
V. Trebiș, 251/4
 II. Rețele de calc. (lab), 
I. Tican, 237/4</v>
      </c>
      <c r="E61" s="12"/>
      <c r="F61" s="12" t="str">
        <f ca="1">IFERROR(__xludf.DUMMYFUNCTION("""COMPUTED_VALUE"""),"Rețele de calc. (lab), 
I. Tican, 237/4")</f>
        <v>Rețele de calc. (lab), 
I. Tican, 237/4</v>
      </c>
      <c r="G61" s="13"/>
      <c r="H61" s="14" t="str">
        <f ca="1">IFERROR(__xludf.DUMMYFUNCTION("""COMPUTED_VALUE"""),"Design UI/UX (lab), 
E. Mîndru, 219/4a")</f>
        <v>Design UI/UX (lab), 
E. Mîndru, 219/4a</v>
      </c>
      <c r="I61" s="12" t="str">
        <f ca="1">IFERROR(__xludf.DUMMYFUNCTION("""COMPUTED_VALUE"""),"Alg. str. date (lab), 
O. Cerbu, 145a/4")</f>
        <v>Alg. str. date (lab), 
O. Cerbu, 145a/4</v>
      </c>
      <c r="J61" s="12" t="str">
        <f ca="1">IFERROR(__xludf.DUMMYFUNCTION("""COMPUTED_VALUE"""),"Alg. str. date (lab), 
O. Cerbu, 145a/4")</f>
        <v>Alg. str. date (lab), 
O. Cerbu, 145a/4</v>
      </c>
      <c r="K61" s="13" t="str">
        <f ca="1">IFERROR(__xludf.DUMMYFUNCTION("""COMPUTED_VALUE"""),"GA 2D (lab), 
T. Iațîșina, 326/4")</f>
        <v>GA 2D (lab), 
T. Iațîșina, 326/4</v>
      </c>
      <c r="L61" s="14" t="str">
        <f ca="1">IFERROR(__xludf.DUMMYFUNCTION("""COMPUTED_VALUE"""),"Cloud comp. (prel), 
A. Prepeliță, 404/4")</f>
        <v>Cloud comp. (prel), 
A. Prepeliță, 404/4</v>
      </c>
      <c r="M61" s="13" t="str">
        <f ca="1">IFERROR(__xludf.DUMMYFUNCTION("""COMPUTED_VALUE"""),"IA (prel), 
T. Bumbu, 214/4")</f>
        <v>IA (prel), 
T. Bumbu, 214/4</v>
      </c>
    </row>
    <row r="62" spans="1:13" ht="66" x14ac:dyDescent="0.25">
      <c r="A62" s="37"/>
      <c r="B62" s="11" t="str">
        <f ca="1">IFERROR(__xludf.DUMMYFUNCTION("""COMPUTED_VALUE""")," V
15:00-16:30")</f>
        <v xml:space="preserve"> V
15:00-16:30</v>
      </c>
      <c r="C62" s="12"/>
      <c r="D62" s="12"/>
      <c r="E62" s="12"/>
      <c r="F62" s="12"/>
      <c r="G62" s="13" t="str">
        <f ca="1">IFERROR(__xludf.DUMMYFUNCTION("""COMPUTED_VALUE""")," I. Python (lab), 
V. Trebiș, 251/4
 II. Rețele de calc. (lab), 
I. Tican, 237/4")</f>
        <v xml:space="preserve"> I. Python (lab), 
V. Trebiș, 251/4
 II. Rețele de calc. (lab), 
I. Tican, 237/4</v>
      </c>
      <c r="H62" s="14"/>
      <c r="I62" s="12" t="str">
        <f ca="1">IFERROR(__xludf.DUMMYFUNCTION("""COMPUTED_VALUE"""),"Cript. sec.inf. (lab), 
O. Cerbu, 145a/4")</f>
        <v>Cript. sec.inf. (lab), 
O. Cerbu, 145a/4</v>
      </c>
      <c r="J62" s="12"/>
      <c r="K62" s="13" t="str">
        <f ca="1">IFERROR(__xludf.DUMMYFUNCTION("""COMPUTED_VALUE"""),"GA 2D (lab), 
T. Iațîșina, 326/4")</f>
        <v>GA 2D (lab), 
T. Iațîșina, 326/4</v>
      </c>
      <c r="L62" s="14" t="str">
        <f ca="1">IFERROR(__xludf.DUMMYFUNCTION("""COMPUTED_VALUE"""),"Cloud comp. (prel), 
A. Prepeliță, 404/4")</f>
        <v>Cloud comp. (prel), 
A. Prepeliță, 404/4</v>
      </c>
      <c r="M62" s="13" t="str">
        <f ca="1">IFERROR(__xludf.DUMMYFUNCTION("""COMPUTED_VALUE"""),"IA (prel), 
T. Bumbu, 214/4")</f>
        <v>IA (prel), 
T. Bumbu, 214/4</v>
      </c>
    </row>
    <row r="63" spans="1:13" ht="66" x14ac:dyDescent="0.25">
      <c r="A63" s="37"/>
      <c r="B63" s="11" t="str">
        <f ca="1">IFERROR(__xludf.DUMMYFUNCTION("""COMPUTED_VALUE"""),"VI
 16:45-18:15")</f>
        <v>VI
 16:45-18:15</v>
      </c>
      <c r="C63" s="12"/>
      <c r="D63" s="12"/>
      <c r="E63" s="12"/>
      <c r="F63" s="12"/>
      <c r="G63" s="13" t="str">
        <f ca="1">IFERROR(__xludf.DUMMYFUNCTION("""COMPUTED_VALUE""")," I. Python (lab), 
V. Trebiș, 251/4
 II. Rețele de calc. (lab), 
I. Tican, 237/4")</f>
        <v xml:space="preserve"> I. Python (lab), 
V. Trebiș, 251/4
 II. Rețele de calc. (lab), 
I. Tican, 237/4</v>
      </c>
      <c r="H63" s="14"/>
      <c r="I63" s="12" t="str">
        <f ca="1">IFERROR(__xludf.DUMMYFUNCTION("""COMPUTED_VALUE"""),"Cript. sec.inf. (lab), 
O. Cerbu, 145a/4")</f>
        <v>Cript. sec.inf. (lab), 
O. Cerbu, 145a/4</v>
      </c>
      <c r="J63" s="12"/>
      <c r="K63" s="13"/>
      <c r="L63" s="14" t="str">
        <f ca="1">IFERROR(__xludf.DUMMYFUNCTION("""COMPUTED_VALUE""")," I: IA (lab), 
T. Bumbu, 237/4")</f>
        <v xml:space="preserve"> I: IA (lab), 
T. Bumbu, 237/4</v>
      </c>
      <c r="M63" s="13"/>
    </row>
    <row r="64" spans="1:13" ht="27" thickBot="1" x14ac:dyDescent="0.3">
      <c r="A64" s="38"/>
      <c r="B64" s="4" t="str">
        <f ca="1">IFERROR(__xludf.DUMMYFUNCTION("""COMPUTED_VALUE"""),"VII
 18:30-20:00")</f>
        <v>VII
 18:30-20:00</v>
      </c>
      <c r="C64" s="15"/>
      <c r="D64" s="15"/>
      <c r="E64" s="15"/>
      <c r="F64" s="15"/>
      <c r="G64" s="16"/>
      <c r="H64" s="17"/>
      <c r="I64" s="15"/>
      <c r="J64" s="15"/>
      <c r="K64" s="16"/>
      <c r="L64" s="17" t="str">
        <f ca="1">IFERROR(__xludf.DUMMYFUNCTION("""COMPUTED_VALUE""")," I: IA (lab), 
T. Bumbu, 237/4")</f>
        <v xml:space="preserve"> I: IA (lab), 
T. Bumbu, 237/4</v>
      </c>
      <c r="M64" s="16"/>
    </row>
    <row r="65" spans="1:13" ht="66.599999999999994" thickTop="1" x14ac:dyDescent="0.25">
      <c r="A65" s="36" t="str">
        <f ca="1">IFERROR(__xludf.DUMMYFUNCTION("""COMPUTED_VALUE"""),"Duminică,
24.05.2026")</f>
        <v>Duminică,
24.05.2026</v>
      </c>
      <c r="B65" s="18" t="str">
        <f ca="1">IFERROR(__xludf.DUMMYFUNCTION("""COMPUTED_VALUE"""),"I
 08:00-9:30")</f>
        <v>I
 08:00-9:30</v>
      </c>
      <c r="C65" s="19"/>
      <c r="D65" s="19"/>
      <c r="E65" s="19" t="str">
        <f ca="1">IFERROR(__xludf.DUMMYFUNCTION("""COMPUTED_VALUE""")," I. Rețele de calc. (lab), 
I. Tican, 145a/4
 II. Python (lab), 
V. Trebiș, 143/4")</f>
        <v xml:space="preserve"> I. Rețele de calc. (lab), 
I. Tican, 145a/4
 II. Python (lab), 
V. Trebiș, 143/4</v>
      </c>
      <c r="F65" s="19"/>
      <c r="G65" s="20"/>
      <c r="H65" s="21"/>
      <c r="I65" s="19"/>
      <c r="J65" s="19"/>
      <c r="K65" s="20"/>
      <c r="L65" s="21"/>
      <c r="M65" s="20"/>
    </row>
    <row r="66" spans="1:13" ht="66" x14ac:dyDescent="0.25">
      <c r="A66" s="37"/>
      <c r="B66" s="11" t="str">
        <f ca="1">IFERROR(__xludf.DUMMYFUNCTION("""COMPUTED_VALUE"""),"II
 09:45-11:15")</f>
        <v>II
 09:45-11:15</v>
      </c>
      <c r="C66" s="12"/>
      <c r="D66" s="12"/>
      <c r="E66" s="12" t="str">
        <f ca="1">IFERROR(__xludf.DUMMYFUNCTION("""COMPUTED_VALUE""")," I. Rețele de calc. (lab), 
I. Tican, 145a/4
 II. Python (lab), 
V. Trebiș, 143/4")</f>
        <v xml:space="preserve"> I. Rețele de calc. (lab), 
I. Tican, 145a/4
 II. Python (lab), 
V. Trebiș, 143/4</v>
      </c>
      <c r="F66" s="12"/>
      <c r="G66" s="13"/>
      <c r="H66" s="14"/>
      <c r="I66" s="12"/>
      <c r="J66" s="12"/>
      <c r="K66" s="13"/>
      <c r="L66" s="14" t="str">
        <f ca="1">IFERROR(__xludf.DUMMYFUNCTION("""COMPUTED_VALUE""")," I: Cloud comp. (lab), 
A. Prepeliță, 145/4
 II: Design soft. (lab), 
G-C. Stănescu, 350/4")</f>
        <v xml:space="preserve"> I: Cloud comp. (lab), 
A. Prepeliță, 145/4
 II: Design soft. (lab), 
G-C. Stănescu, 350/4</v>
      </c>
      <c r="M66" s="13" t="str">
        <f ca="1">IFERROR(__xludf.DUMMYFUNCTION("""COMPUTED_VALUE"""),"Spring (lab), 
M. Dodi, 423/4")</f>
        <v>Spring (lab), 
M. Dodi, 423/4</v>
      </c>
    </row>
    <row r="67" spans="1:13" ht="66" x14ac:dyDescent="0.25">
      <c r="A67" s="37"/>
      <c r="B67" s="11" t="str">
        <f ca="1">IFERROR(__xludf.DUMMYFUNCTION("""COMPUTED_VALUE"""),"III
 11:30-13:00")</f>
        <v>III
 11:30-13:00</v>
      </c>
      <c r="C67" s="12"/>
      <c r="D67" s="12"/>
      <c r="E67" s="12" t="str">
        <f ca="1">IFERROR(__xludf.DUMMYFUNCTION("""COMPUTED_VALUE""")," I. Python (lab), 
V. Trebiș, 143/4
 II. Rețele de calc. (lab), 
I. Tican, 145a/4")</f>
        <v xml:space="preserve"> I. Python (lab), 
V. Trebiș, 143/4
 II. Rețele de calc. (lab), 
I. Tican, 145a/4</v>
      </c>
      <c r="F67" s="12"/>
      <c r="G67" s="13"/>
      <c r="H67" s="14"/>
      <c r="I67" s="12"/>
      <c r="J67" s="12"/>
      <c r="K67" s="13"/>
      <c r="L67" s="14" t="str">
        <f ca="1">IFERROR(__xludf.DUMMYFUNCTION("""COMPUTED_VALUE""")," I: Cloud comp. (lab), 
A. Prepeliță, 145/4
 II: Design soft. (lab), 
G-C. Stănescu, 350/4")</f>
        <v xml:space="preserve"> I: Cloud comp. (lab), 
A. Prepeliță, 145/4
 II: Design soft. (lab), 
G-C. Stănescu, 350/4</v>
      </c>
      <c r="M67" s="13" t="str">
        <f ca="1">IFERROR(__xludf.DUMMYFUNCTION("""COMPUTED_VALUE"""),"Spring (lab), 
M. Dodi, 423/4")</f>
        <v>Spring (lab), 
M. Dodi, 423/4</v>
      </c>
    </row>
    <row r="68" spans="1:13" ht="66" x14ac:dyDescent="0.25">
      <c r="A68" s="37"/>
      <c r="B68" s="11" t="str">
        <f ca="1">IFERROR(__xludf.DUMMYFUNCTION("""COMPUTED_VALUE"""),"IV
 13:15-14:45")</f>
        <v>IV
 13:15-14:45</v>
      </c>
      <c r="C68" s="12"/>
      <c r="D68" s="12"/>
      <c r="E68" s="12" t="str">
        <f ca="1">IFERROR(__xludf.DUMMYFUNCTION("""COMPUTED_VALUE""")," I. Python (lab), 
V. Trebiș, 143/4
 II. Rețele de calc. (lab), 
I. Tican, 145a/4")</f>
        <v xml:space="preserve"> I. Python (lab), 
V. Trebiș, 143/4
 II. Rețele de calc. (lab), 
I. Tican, 145a/4</v>
      </c>
      <c r="F68" s="12"/>
      <c r="G68" s="13"/>
      <c r="H68" s="14"/>
      <c r="I68" s="12"/>
      <c r="J68" s="12"/>
      <c r="K68" s="13"/>
      <c r="L68" s="14" t="str">
        <f ca="1">IFERROR(__xludf.DUMMYFUNCTION("""COMPUTED_VALUE""")," I: Design soft. (lab), 
G-C. Stănescu, 350/4
 II: Cloud comp. (lab), 
A. Prepeliță, 145/4")</f>
        <v xml:space="preserve"> I: Design soft. (lab), 
G-C. Stănescu, 350/4
 II: Cloud comp. (lab), 
A. Prepeliță, 145/4</v>
      </c>
      <c r="M68" s="13" t="str">
        <f ca="1">IFERROR(__xludf.DUMMYFUNCTION("""COMPUTED_VALUE"""),"IA (lab), 
T. Bumbu, 423/4")</f>
        <v>IA (lab), 
T. Bumbu, 423/4</v>
      </c>
    </row>
    <row r="69" spans="1:13" ht="66" x14ac:dyDescent="0.25">
      <c r="A69" s="37"/>
      <c r="B69" s="11" t="str">
        <f ca="1">IFERROR(__xludf.DUMMYFUNCTION("""COMPUTED_VALUE""")," V
15:00-16:30")</f>
        <v xml:space="preserve"> V
15:00-16:30</v>
      </c>
      <c r="C69" s="12"/>
      <c r="D69" s="12"/>
      <c r="E69" s="12"/>
      <c r="F69" s="12"/>
      <c r="G69" s="13" t="str">
        <f ca="1">IFERROR(__xludf.DUMMYFUNCTION("""COMPUTED_VALUE""")," I. Rețele de calc. (lab), 
I. Tican, 145a/4
 II. Python (lab), 
V. Trebiș, 143/4")</f>
        <v xml:space="preserve"> I. Rețele de calc. (lab), 
I. Tican, 145a/4
 II. Python (lab), 
V. Trebiș, 143/4</v>
      </c>
      <c r="H69" s="14"/>
      <c r="I69" s="12"/>
      <c r="J69" s="12"/>
      <c r="K69" s="13"/>
      <c r="L69" s="14" t="str">
        <f ca="1">IFERROR(__xludf.DUMMYFUNCTION("""COMPUTED_VALUE""")," I: Design soft. (lab), 
G-C. Stănescu, 350/4
 II: Cloud comp. (lab), 
A. Prepeliță, 145/4")</f>
        <v xml:space="preserve"> I: Design soft. (lab), 
G-C. Stănescu, 350/4
 II: Cloud comp. (lab), 
A. Prepeliță, 145/4</v>
      </c>
      <c r="M69" s="13" t="str">
        <f ca="1">IFERROR(__xludf.DUMMYFUNCTION("""COMPUTED_VALUE"""),"IA (lab), 
T. Bumbu, 423/4")</f>
        <v>IA (lab), 
T. Bumbu, 423/4</v>
      </c>
    </row>
    <row r="70" spans="1:13" ht="66" x14ac:dyDescent="0.25">
      <c r="A70" s="37"/>
      <c r="B70" s="11" t="str">
        <f ca="1">IFERROR(__xludf.DUMMYFUNCTION("""COMPUTED_VALUE"""),"VI
 16:45-18:15")</f>
        <v>VI
 16:45-18:15</v>
      </c>
      <c r="C70" s="12"/>
      <c r="D70" s="12"/>
      <c r="E70" s="12"/>
      <c r="F70" s="12"/>
      <c r="G70" s="13" t="str">
        <f ca="1">IFERROR(__xludf.DUMMYFUNCTION("""COMPUTED_VALUE""")," I. Rețele de calc. (lab), 
I. Tican, 145a/4
 II. Python (lab), 
V. Trebiș, 143/4")</f>
        <v xml:space="preserve"> I. Rețele de calc. (lab), 
I. Tican, 145a/4
 II. Python (lab), 
V. Trebiș, 143/4</v>
      </c>
      <c r="H70" s="14"/>
      <c r="I70" s="12"/>
      <c r="J70" s="12"/>
      <c r="K70" s="13"/>
      <c r="L70" s="14" t="str">
        <f ca="1">IFERROR(__xludf.DUMMYFUNCTION("""COMPUTED_VALUE""")," II: IA (lab), 
T. Bumbu, 423/4")</f>
        <v xml:space="preserve"> II: IA (lab), 
T. Bumbu, 423/4</v>
      </c>
      <c r="M70" s="13"/>
    </row>
    <row r="71" spans="1:13" ht="27" thickBot="1" x14ac:dyDescent="0.3">
      <c r="A71" s="38"/>
      <c r="B71" s="4" t="str">
        <f ca="1">IFERROR(__xludf.DUMMYFUNCTION("""COMPUTED_VALUE"""),"VII
 18:30-20:00")</f>
        <v>VII
 18:30-20:00</v>
      </c>
      <c r="C71" s="15"/>
      <c r="D71" s="15"/>
      <c r="E71" s="15"/>
      <c r="F71" s="15"/>
      <c r="G71" s="16"/>
      <c r="H71" s="17"/>
      <c r="I71" s="15"/>
      <c r="J71" s="15"/>
      <c r="K71" s="16"/>
      <c r="L71" s="17" t="str">
        <f ca="1">IFERROR(__xludf.DUMMYFUNCTION("""COMPUTED_VALUE""")," II: IA (lab), 
T. Bumbu, 423/4")</f>
        <v xml:space="preserve"> II: IA (lab), 
T. Bumbu, 423/4</v>
      </c>
      <c r="M71" s="16"/>
    </row>
    <row r="72" spans="1:13" ht="14.4" thickTop="1" thickBot="1" x14ac:dyDescent="0.3">
      <c r="A72" s="22"/>
      <c r="B72" s="2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27" thickTop="1" x14ac:dyDescent="0.25">
      <c r="A73" s="36" t="str">
        <f ca="1">IFERROR(__xludf.DUMMYFUNCTION("""COMPUTED_VALUE"""),"Luni,
25.05.2026")</f>
        <v>Luni,
25.05.2026</v>
      </c>
      <c r="B73" s="23" t="str">
        <f ca="1">IFERROR(__xludf.DUMMYFUNCTION("""COMPUTED_VALUE"""),"13:15-14:45")</f>
        <v>13:15-14:45</v>
      </c>
      <c r="C73" s="24" t="str">
        <f ca="1">IFERROR(__xludf.DUMMYFUNCTION("""COMPUTED_VALUE"""),"Alg. graf. (lab), A. Niculiță, 239/4")</f>
        <v>Alg. graf. (lab), A. Niculiță, 239/4</v>
      </c>
      <c r="D73" s="24"/>
      <c r="E73" s="24"/>
      <c r="F73" s="24"/>
      <c r="G73" s="25"/>
      <c r="H73" s="26"/>
      <c r="I73" s="24"/>
      <c r="J73" s="24"/>
      <c r="K73" s="25"/>
      <c r="L73" s="26"/>
      <c r="M73" s="25"/>
    </row>
    <row r="74" spans="1:13" ht="26.4" x14ac:dyDescent="0.25">
      <c r="A74" s="37"/>
      <c r="B74" s="11" t="str">
        <f ca="1">IFERROR(__xludf.DUMMYFUNCTION("""COMPUTED_VALUE""")," I
15:00-16:30")</f>
        <v xml:space="preserve"> I
15:00-16:30</v>
      </c>
      <c r="C74" s="12" t="str">
        <f ca="1">IFERROR(__xludf.DUMMYFUNCTION("""COMPUTED_VALUE"""),"Alg. graf. (lab), A. Niculiță, 239/4")</f>
        <v>Alg. graf. (lab), A. Niculiță, 239/4</v>
      </c>
      <c r="D74" s="12"/>
      <c r="E74" s="12"/>
      <c r="F74" s="12"/>
      <c r="G74" s="13"/>
      <c r="H74" s="14"/>
      <c r="I74" s="12"/>
      <c r="J74" s="12"/>
      <c r="K74" s="13"/>
      <c r="L74" s="14"/>
      <c r="M74" s="13"/>
    </row>
    <row r="75" spans="1:13" ht="26.4" x14ac:dyDescent="0.25">
      <c r="A75" s="37"/>
      <c r="B75" s="11" t="str">
        <f ca="1">IFERROR(__xludf.DUMMYFUNCTION("""COMPUTED_VALUE""")," II
16:45-18:15")</f>
        <v xml:space="preserve"> II
16:45-18:15</v>
      </c>
      <c r="C75" s="12" t="str">
        <f ca="1">IFERROR(__xludf.DUMMYFUNCTION("""COMPUTED_VALUE"""),"Python (lab), B. Hâncu, 239/4")</f>
        <v>Python (lab), B. Hâncu, 239/4</v>
      </c>
      <c r="D75" s="12"/>
      <c r="E75" s="12"/>
      <c r="F75" s="12" t="str">
        <f ca="1">IFERROR(__xludf.DUMMYFUNCTION("""COMPUTED_VALUE"""),"Psih. (sem), V. Miron, 415/4")</f>
        <v>Psih. (sem), V. Miron, 415/4</v>
      </c>
      <c r="G75" s="13" t="str">
        <f ca="1">IFERROR(__xludf.DUMMYFUNCTION("""COMPUTED_VALUE"""),"L. rom. (sem), E. Braguță, 419/4")</f>
        <v>L. rom. (sem), E. Braguță, 419/4</v>
      </c>
      <c r="H75" s="27"/>
      <c r="I75" s="28"/>
      <c r="J75" s="28"/>
      <c r="K75" s="29"/>
      <c r="L75" s="14" t="str">
        <f ca="1">IFERROR(__xludf.DUMMYFUNCTION("""COMPUTED_VALUE"""),"Dezv. apl. mob. (lab), 
C. Crudu, 145a/4")</f>
        <v>Dezv. apl. mob. (lab), 
C. Crudu, 145a/4</v>
      </c>
      <c r="M75" s="13"/>
    </row>
    <row r="76" spans="1:13" ht="27" thickBot="1" x14ac:dyDescent="0.3">
      <c r="A76" s="38"/>
      <c r="B76" s="4" t="str">
        <f ca="1">IFERROR(__xludf.DUMMYFUNCTION("""COMPUTED_VALUE"""),"III
18:30-20:00")</f>
        <v>III
18:30-20:00</v>
      </c>
      <c r="C76" s="15" t="str">
        <f ca="1">IFERROR(__xludf.DUMMYFUNCTION("""COMPUTED_VALUE"""),"Python (lab), B. Hâncu, 239/4")</f>
        <v>Python (lab), B. Hâncu, 239/4</v>
      </c>
      <c r="D76" s="15"/>
      <c r="E76" s="15"/>
      <c r="F76" s="15" t="str">
        <f ca="1">IFERROR(__xludf.DUMMYFUNCTION("""COMPUTED_VALUE"""),"Psih. (sem), V. Miron, 415/4")</f>
        <v>Psih. (sem), V. Miron, 415/4</v>
      </c>
      <c r="G76" s="16"/>
      <c r="H76" s="17"/>
      <c r="I76" s="15"/>
      <c r="J76" s="15"/>
      <c r="K76" s="16"/>
      <c r="L76" s="17" t="str">
        <f ca="1">IFERROR(__xludf.DUMMYFUNCTION("""COMPUTED_VALUE"""),"Dezv. apl. mob. (lab), 
C. Crudu, 145a/4")</f>
        <v>Dezv. apl. mob. (lab), 
C. Crudu, 145a/4</v>
      </c>
      <c r="M76" s="16"/>
    </row>
    <row r="77" spans="1:13" ht="40.200000000000003" thickTop="1" x14ac:dyDescent="0.25">
      <c r="A77" s="36" t="str">
        <f ca="1">IFERROR(__xludf.DUMMYFUNCTION("""COMPUTED_VALUE"""),"Marți,
26.05.2026")</f>
        <v>Marți,
26.05.2026</v>
      </c>
      <c r="B77" s="18" t="str">
        <f ca="1">IFERROR(__xludf.DUMMYFUNCTION("""COMPUTED_VALUE"""),"13:15-14:45")</f>
        <v>13:15-14:45</v>
      </c>
      <c r="C77" s="19" t="str">
        <f ca="1">IFERROR(__xludf.DUMMYFUNCTION("""COMPUTED_VALUE"""),"Structuri algebrice (prel), P. Sârbu, 415/4")</f>
        <v>Structuri algebrice (prel), P. Sârbu, 415/4</v>
      </c>
      <c r="D77" s="19"/>
      <c r="E77" s="19"/>
      <c r="F77" s="19"/>
      <c r="G77" s="20"/>
      <c r="H77" s="30" t="str">
        <f ca="1">IFERROR(__xludf.DUMMYFUNCTION("""COMPUTED_VALUE"""),"14.00 Politologie (exam), 
 R. Svetlicinîi, 407/4")</f>
        <v>14.00 Politologie (exam), 
 R. Svetlicinîi, 407/4</v>
      </c>
      <c r="I77" s="31" t="str">
        <f ca="1">IFERROR(__xludf.DUMMYFUNCTION("""COMPUTED_VALUE"""),"14.00 Politologie (exam), 
 R. Svetlicinîi, 407/4")</f>
        <v>14.00 Politologie (exam), 
 R. Svetlicinîi, 407/4</v>
      </c>
      <c r="J77" s="31" t="str">
        <f ca="1">IFERROR(__xludf.DUMMYFUNCTION("""COMPUTED_VALUE"""),"14.00 Politologie (exam), 
 R. Svetlicinîi, 407/4")</f>
        <v>14.00 Politologie (exam), 
 R. Svetlicinîi, 407/4</v>
      </c>
      <c r="K77" s="32" t="str">
        <f ca="1">IFERROR(__xludf.DUMMYFUNCTION("""COMPUTED_VALUE"""),"14.00 Politologie (exam), 
 T. Turco, 404/4")</f>
        <v>14.00 Politologie (exam), 
 T. Turco, 404/4</v>
      </c>
      <c r="L77" s="21"/>
      <c r="M77" s="20"/>
    </row>
    <row r="78" spans="1:13" ht="39.6" x14ac:dyDescent="0.25">
      <c r="A78" s="37"/>
      <c r="B78" s="11" t="str">
        <f ca="1">IFERROR(__xludf.DUMMYFUNCTION("""COMPUTED_VALUE""")," I
15:00-16:30")</f>
        <v xml:space="preserve"> I
15:00-16:30</v>
      </c>
      <c r="C78" s="12" t="str">
        <f ca="1">IFERROR(__xludf.DUMMYFUNCTION("""COMPUTED_VALUE"""),"Structuri algebrice (sem), P. Sârbu, 415/4")</f>
        <v>Structuri algebrice (sem), P. Sârbu, 415/4</v>
      </c>
      <c r="D78" s="12"/>
      <c r="E78" s="12"/>
      <c r="F78" s="12"/>
      <c r="G78" s="13"/>
      <c r="H78" s="14"/>
      <c r="I78" s="12"/>
      <c r="J78" s="12"/>
      <c r="K78" s="13"/>
      <c r="L78" s="14"/>
      <c r="M78" s="13"/>
    </row>
    <row r="79" spans="1:13" ht="26.4" x14ac:dyDescent="0.25">
      <c r="A79" s="37"/>
      <c r="B79" s="11" t="str">
        <f ca="1">IFERROR(__xludf.DUMMYFUNCTION("""COMPUTED_VALUE"""),"II
16:45-18:15")</f>
        <v>II
16:45-18:15</v>
      </c>
      <c r="C79" s="12" t="str">
        <f ca="1">IFERROR(__xludf.DUMMYFUNCTION("""COMPUTED_VALUE"""),"Analiza matem. (sem), V. Guțu, 415/4")</f>
        <v>Analiza matem. (sem), V. Guțu, 415/4</v>
      </c>
      <c r="D79" s="12"/>
      <c r="E79" s="12"/>
      <c r="F79" s="12" t="str">
        <f ca="1">IFERROR(__xludf.DUMMYFUNCTION("""COMPUTED_VALUE"""),"Psih. (sem), V. Miron, 214/4")</f>
        <v>Psih. (sem), V. Miron, 214/4</v>
      </c>
      <c r="G79" s="13" t="str">
        <f ca="1">IFERROR(__xludf.DUMMYFUNCTION("""COMPUTED_VALUE"""),"L. rom. (sem), E. Braguță, 419/4")</f>
        <v>L. rom. (sem), E. Braguță, 419/4</v>
      </c>
      <c r="H79" s="14"/>
      <c r="I79" s="12"/>
      <c r="J79" s="12"/>
      <c r="K79" s="13"/>
      <c r="L79" s="14"/>
      <c r="M79" s="13"/>
    </row>
    <row r="80" spans="1:13" ht="27" thickBot="1" x14ac:dyDescent="0.3">
      <c r="A80" s="38"/>
      <c r="B80" s="4" t="str">
        <f ca="1">IFERROR(__xludf.DUMMYFUNCTION("""COMPUTED_VALUE""")," III
18:30-20:00")</f>
        <v xml:space="preserve"> III
18:30-20:00</v>
      </c>
      <c r="C80" s="15" t="str">
        <f ca="1">IFERROR(__xludf.DUMMYFUNCTION("""COMPUTED_VALUE"""),"Analiza matem. (sem), V. Guțu, 415/4")</f>
        <v>Analiza matem. (sem), V. Guțu, 415/4</v>
      </c>
      <c r="D80" s="15"/>
      <c r="E80" s="15"/>
      <c r="F80" s="15" t="str">
        <f ca="1">IFERROR(__xludf.DUMMYFUNCTION("""COMPUTED_VALUE"""),"Psih. v. (sem), V. Miron, 214/4")</f>
        <v>Psih. v. (sem), V. Miron, 214/4</v>
      </c>
      <c r="G80" s="16" t="str">
        <f ca="1">IFERROR(__xludf.DUMMYFUNCTION("""COMPUTED_VALUE"""),"L. rom. (sem), E. Braguță, 419/4")</f>
        <v>L. rom. (sem), E. Braguță, 419/4</v>
      </c>
      <c r="H80" s="17"/>
      <c r="I80" s="15"/>
      <c r="J80" s="15"/>
      <c r="K80" s="16"/>
      <c r="L80" s="17"/>
      <c r="M80" s="16"/>
    </row>
    <row r="81" spans="1:13" ht="27" thickTop="1" x14ac:dyDescent="0.25">
      <c r="A81" s="36" t="str">
        <f ca="1">IFERROR(__xludf.DUMMYFUNCTION("""COMPUTED_VALUE"""),"Miercuri,
27.05.2026")</f>
        <v>Miercuri,
27.05.2026</v>
      </c>
      <c r="B81" s="18" t="str">
        <f ca="1">IFERROR(__xludf.DUMMYFUNCTION("""COMPUTED_VALUE""")," I
15:00-16:30")</f>
        <v xml:space="preserve"> I
15:00-16:30</v>
      </c>
      <c r="C81" s="19" t="str">
        <f ca="1">IFERROR(__xludf.DUMMYFUNCTION("""COMPUTED_VALUE"""),"Analiza matem. (prel), V. Guțu, 415/4")</f>
        <v>Analiza matem. (prel), V. Guțu, 415/4</v>
      </c>
      <c r="D81" s="19"/>
      <c r="E81" s="19"/>
      <c r="F81" s="19"/>
      <c r="G81" s="20"/>
      <c r="H81" s="21"/>
      <c r="I81" s="19"/>
      <c r="J81" s="19"/>
      <c r="K81" s="20"/>
      <c r="L81" s="21"/>
      <c r="M81" s="20"/>
    </row>
    <row r="82" spans="1:13" ht="39.6" x14ac:dyDescent="0.25">
      <c r="A82" s="37"/>
      <c r="B82" s="11" t="str">
        <f ca="1">IFERROR(__xludf.DUMMYFUNCTION("""COMPUTED_VALUE""")," II
16:45-18:15")</f>
        <v xml:space="preserve"> II
16:45-18:15</v>
      </c>
      <c r="C82" s="12" t="str">
        <f ca="1">IFERROR(__xludf.DUMMYFUNCTION("""COMPUTED_VALUE"""),"Structuri algebrice (sem), P. Sârbu, 415/4")</f>
        <v>Structuri algebrice (sem), P. Sârbu, 415/4</v>
      </c>
      <c r="D82" s="12"/>
      <c r="E82" s="12"/>
      <c r="F82" s="12"/>
      <c r="G82" s="13"/>
      <c r="H82" s="14"/>
      <c r="I82" s="12"/>
      <c r="J82" s="12"/>
      <c r="K82" s="13"/>
      <c r="L82" s="14"/>
      <c r="M82" s="13"/>
    </row>
    <row r="83" spans="1:13" ht="40.200000000000003" thickBot="1" x14ac:dyDescent="0.3">
      <c r="A83" s="38"/>
      <c r="B83" s="4" t="str">
        <f ca="1">IFERROR(__xludf.DUMMYFUNCTION("""COMPUTED_VALUE"""),"III
 18:30-20:00")</f>
        <v>III
 18:30-20:00</v>
      </c>
      <c r="C83" s="15" t="str">
        <f ca="1">IFERROR(__xludf.DUMMYFUNCTION("""COMPUTED_VALUE"""),"Structuri algebrice (sem), P. Sârbu, 415/4")</f>
        <v>Structuri algebrice (sem), P. Sârbu, 415/4</v>
      </c>
      <c r="D83" s="15"/>
      <c r="E83" s="15"/>
      <c r="F83" s="15"/>
      <c r="G83" s="16"/>
      <c r="H83" s="17"/>
      <c r="I83" s="15"/>
      <c r="J83" s="15"/>
      <c r="K83" s="16"/>
      <c r="L83" s="17"/>
      <c r="M83" s="16"/>
    </row>
    <row r="84" spans="1:13" ht="13.8" thickTop="1" x14ac:dyDescent="0.25">
      <c r="A84" s="36" t="str">
        <f ca="1">IFERROR(__xludf.DUMMYFUNCTION("""COMPUTED_VALUE"""),"Joi,
28.05.2026")</f>
        <v>Joi,
28.05.2026</v>
      </c>
      <c r="B84" s="18" t="str">
        <f ca="1">IFERROR(__xludf.DUMMYFUNCTION("""COMPUTED_VALUE"""),"13:15-14:45")</f>
        <v>13:15-14:45</v>
      </c>
      <c r="C84" s="19"/>
      <c r="D84" s="31"/>
      <c r="E84" s="31"/>
      <c r="F84" s="31"/>
      <c r="G84" s="32"/>
      <c r="H84" s="30"/>
      <c r="I84" s="31"/>
      <c r="J84" s="31"/>
      <c r="K84" s="32"/>
      <c r="L84" s="30"/>
      <c r="M84" s="32"/>
    </row>
    <row r="85" spans="1:13" ht="26.4" x14ac:dyDescent="0.25">
      <c r="A85" s="37"/>
      <c r="B85" s="11" t="str">
        <f ca="1">IFERROR(__xludf.DUMMYFUNCTION("""COMPUTED_VALUE""")," I
15:00-16:30")</f>
        <v xml:space="preserve"> I
15:00-16:30</v>
      </c>
      <c r="C85" s="28" t="str">
        <f ca="1">IFERROR(__xludf.DUMMYFUNCTION("""COMPUTED_VALUE"""),"Alg. graf. (exam), A. Niculiță, 415/4")</f>
        <v>Alg. graf. (exam), A. Niculiță, 415/4</v>
      </c>
      <c r="D85" s="12"/>
      <c r="E85" s="12"/>
      <c r="F85" s="12"/>
      <c r="G85" s="13"/>
      <c r="H85" s="14"/>
      <c r="I85" s="12"/>
      <c r="J85" s="12"/>
      <c r="K85" s="13"/>
      <c r="L85" s="14"/>
      <c r="M85" s="13"/>
    </row>
    <row r="86" spans="1:13" ht="26.4" x14ac:dyDescent="0.25">
      <c r="A86" s="37"/>
      <c r="B86" s="11" t="str">
        <f ca="1">IFERROR(__xludf.DUMMYFUNCTION("""COMPUTED_VALUE"""),"II
 16:45-18:15")</f>
        <v>II
 16:45-18:15</v>
      </c>
      <c r="C86" s="12"/>
      <c r="D86" s="28" t="str">
        <f ca="1">IFERROR(__xludf.DUMMYFUNCTION("""COMPUTED_VALUE"""),"Javascript (exam), 
A. Donu, 113/4")</f>
        <v>Javascript (exam), 
A. Donu, 113/4</v>
      </c>
      <c r="E86" s="28" t="str">
        <f ca="1">IFERROR(__xludf.DUMMYFUNCTION("""COMPUTED_VALUE"""),"Javascript (exam), 
A. Donu, 113/4")</f>
        <v>Javascript (exam), 
A. Donu, 113/4</v>
      </c>
      <c r="F86" s="28" t="str">
        <f ca="1">IFERROR(__xludf.DUMMYFUNCTION("""COMPUTED_VALUE"""),"Psih. (exam), V. Miron, 419/4")</f>
        <v>Psih. (exam), V. Miron, 419/4</v>
      </c>
      <c r="G86" s="29" t="str">
        <f ca="1">IFERROR(__xludf.DUMMYFUNCTION("""COMPUTED_VALUE"""),"Javascript (exam), 
N. Nartea, 350/4")</f>
        <v>Javascript (exam), 
N. Nartea, 350/4</v>
      </c>
      <c r="H86" s="27" t="str">
        <f ca="1">IFERROR(__xludf.DUMMYFUNCTION("""COMPUTED_VALUE"""),"Proiect. SI. (exam), 
A. Gladei, 213a/4")</f>
        <v>Proiect. SI. (exam), 
A. Gladei, 213a/4</v>
      </c>
      <c r="I86" s="28" t="str">
        <f ca="1">IFERROR(__xludf.DUMMYFUNCTION("""COMPUTED_VALUE"""),"Proiect. SI. (exam), 
A. Gladei, 213a/4")</f>
        <v>Proiect. SI. (exam), 
A. Gladei, 213a/4</v>
      </c>
      <c r="J86" s="28" t="str">
        <f ca="1">IFERROR(__xludf.DUMMYFUNCTION("""COMPUTED_VALUE"""),"Proiect. SI. (exam), 
A. Gladei, 213a/4")</f>
        <v>Proiect. SI. (exam), 
A. Gladei, 213a/4</v>
      </c>
      <c r="K86" s="29" t="str">
        <f ca="1">IFERROR(__xludf.DUMMYFUNCTION("""COMPUTED_VALUE"""),"Proiect. SI. (exam), 
A. Gladei, 213a/4")</f>
        <v>Proiect. SI. (exam), 
A. Gladei, 213a/4</v>
      </c>
      <c r="L86" s="27" t="str">
        <f ca="1">IFERROR(__xludf.DUMMYFUNCTION("""COMPUTED_VALUE"""),"Spring (exam), 
M. Dodi, 404/4")</f>
        <v>Spring (exam), 
M. Dodi, 404/4</v>
      </c>
      <c r="M86" s="29" t="str">
        <f ca="1">IFERROR(__xludf.DUMMYFUNCTION("""COMPUTED_VALUE"""),"Spring (exam), 
M. Dodi, 404/4")</f>
        <v>Spring (exam), 
M. Dodi, 404/4</v>
      </c>
    </row>
    <row r="87" spans="1:13" ht="27" thickBot="1" x14ac:dyDescent="0.3">
      <c r="A87" s="38"/>
      <c r="B87" s="4" t="str">
        <f ca="1">IFERROR(__xludf.DUMMYFUNCTION("""COMPUTED_VALUE"""),"III
 18:30-20:00")</f>
        <v>III
 18:30-20:00</v>
      </c>
      <c r="C87" s="33"/>
      <c r="D87" s="15"/>
      <c r="E87" s="15"/>
      <c r="F87" s="15"/>
      <c r="G87" s="16"/>
      <c r="H87" s="17"/>
      <c r="I87" s="15"/>
      <c r="J87" s="15"/>
      <c r="K87" s="16"/>
      <c r="L87" s="17"/>
      <c r="M87" s="16"/>
    </row>
    <row r="88" spans="1:13" ht="27" thickTop="1" x14ac:dyDescent="0.25">
      <c r="A88" s="36" t="str">
        <f ca="1">IFERROR(__xludf.DUMMYFUNCTION("""COMPUTED_VALUE"""),"Vineri,
29.05.2026")</f>
        <v>Vineri,
29.05.2026</v>
      </c>
      <c r="B88" s="18" t="str">
        <f ca="1">IFERROR(__xludf.DUMMYFUNCTION("""COMPUTED_VALUE""")," I
15:00-16:30")</f>
        <v xml:space="preserve"> I
15:00-16:30</v>
      </c>
      <c r="C88" s="19"/>
      <c r="D88" s="19"/>
      <c r="E88" s="19"/>
      <c r="F88" s="19"/>
      <c r="G88" s="20"/>
      <c r="H88" s="21"/>
      <c r="I88" s="19"/>
      <c r="J88" s="19"/>
      <c r="K88" s="20"/>
      <c r="L88" s="21"/>
      <c r="M88" s="20"/>
    </row>
    <row r="89" spans="1:13" ht="26.4" x14ac:dyDescent="0.25">
      <c r="A89" s="37"/>
      <c r="B89" s="11" t="str">
        <f ca="1">IFERROR(__xludf.DUMMYFUNCTION("""COMPUTED_VALUE"""),"II
 16:45-18:15")</f>
        <v>II
 16:45-18:15</v>
      </c>
      <c r="C89" s="12"/>
      <c r="D89" s="12"/>
      <c r="E89" s="12"/>
      <c r="F89" s="12"/>
      <c r="G89" s="13"/>
      <c r="H89" s="14"/>
      <c r="I89" s="12"/>
      <c r="J89" s="12"/>
      <c r="K89" s="13"/>
      <c r="L89" s="14"/>
      <c r="M89" s="13"/>
    </row>
    <row r="90" spans="1:13" ht="27" thickBot="1" x14ac:dyDescent="0.3">
      <c r="A90" s="38"/>
      <c r="B90" s="4" t="str">
        <f ca="1">IFERROR(__xludf.DUMMYFUNCTION("""COMPUTED_VALUE"""),"III
 18:30-20:00")</f>
        <v>III
 18:30-20:00</v>
      </c>
      <c r="C90" s="33"/>
      <c r="D90" s="33"/>
      <c r="E90" s="33"/>
      <c r="F90" s="33"/>
      <c r="G90" s="34"/>
      <c r="H90" s="35"/>
      <c r="I90" s="33"/>
      <c r="J90" s="33"/>
      <c r="K90" s="34"/>
      <c r="L90" s="35"/>
      <c r="M90" s="34"/>
    </row>
    <row r="91" spans="1:13" ht="27" thickTop="1" x14ac:dyDescent="0.25">
      <c r="A91" s="36" t="str">
        <f ca="1">IFERROR(__xludf.DUMMYFUNCTION("""COMPUTED_VALUE"""),"Sîmbătă,
30.05.2026")</f>
        <v>Sîmbătă,
30.05.2026</v>
      </c>
      <c r="B91" s="18" t="str">
        <f ca="1">IFERROR(__xludf.DUMMYFUNCTION("""COMPUTED_VALUE"""),"I
 08:00-9:30")</f>
        <v>I
 08:00-9:30</v>
      </c>
      <c r="C91" s="19"/>
      <c r="D91" s="19"/>
      <c r="E91" s="19"/>
      <c r="F91" s="19"/>
      <c r="G91" s="20"/>
      <c r="H91" s="21"/>
      <c r="I91" s="19"/>
      <c r="J91" s="19"/>
      <c r="K91" s="20"/>
      <c r="L91" s="21"/>
      <c r="M91" s="20"/>
    </row>
    <row r="92" spans="1:13" ht="39.6" x14ac:dyDescent="0.25">
      <c r="A92" s="37"/>
      <c r="B92" s="11" t="str">
        <f ca="1">IFERROR(__xludf.DUMMYFUNCTION("""COMPUTED_VALUE"""),"II
 09:45-11:15")</f>
        <v>II
 09:45-11:15</v>
      </c>
      <c r="C92" s="28" t="str">
        <f ca="1">IFERROR(__xludf.DUMMYFUNCTION("""COMPUTED_VALUE"""),"Structuri algebrice (exam), P. Sârbu, 415/4")</f>
        <v>Structuri algebrice (exam), P. Sârbu, 415/4</v>
      </c>
      <c r="D92" s="28" t="str">
        <f ca="1">IFERROR(__xludf.DUMMYFUNCTION("""COMPUTED_VALUE"""),"Rețele de calc. (exam), 
I. Tican, 145a/4")</f>
        <v>Rețele de calc. (exam), 
I. Tican, 145a/4</v>
      </c>
      <c r="E92" s="28" t="str">
        <f ca="1">IFERROR(__xludf.DUMMYFUNCTION("""COMPUTED_VALUE"""),"Rețele de calc. (exam), 
D. Borș, 145/4")</f>
        <v>Rețele de calc. (exam), 
D. Borș, 145/4</v>
      </c>
      <c r="F92" s="28" t="str">
        <f ca="1">IFERROR(__xludf.DUMMYFUNCTION("""COMPUTED_VALUE"""),"Rețele de calc. (exam), 
A. Donu, 143/4")</f>
        <v>Rețele de calc. (exam), 
A. Donu, 143/4</v>
      </c>
      <c r="G92" s="29"/>
      <c r="H92" s="27" t="str">
        <f ca="1">IFERROR(__xludf.DUMMYFUNCTION("""COMPUTED_VALUE"""),"Design UI/UX (exam), 
E. Mîndru, 404/4")</f>
        <v>Design UI/UX (exam), 
E. Mîndru, 404/4</v>
      </c>
      <c r="I92" s="28" t="str">
        <f ca="1">IFERROR(__xludf.DUMMYFUNCTION("""COMPUTED_VALUE"""),"Design UI/UX (exam), 
E. Mîndru, 404/4")</f>
        <v>Design UI/UX (exam), 
E. Mîndru, 404/4</v>
      </c>
      <c r="J92" s="28"/>
      <c r="K92" s="29" t="str">
        <f ca="1">IFERROR(__xludf.DUMMYFUNCTION("""COMPUTED_VALUE"""),"Design UI/UX (exam), 
V. Vișnevschi, 419/4")</f>
        <v>Design UI/UX (exam), 
V. Vișnevschi, 419/4</v>
      </c>
      <c r="L92" s="27" t="str">
        <f ca="1">IFERROR(__xludf.DUMMYFUNCTION("""COMPUTED_VALUE"""),"Cloud comp. (exam), 
A. Prepeliță, 219/4a")</f>
        <v>Cloud comp. (exam), 
A. Prepeliță, 219/4a</v>
      </c>
      <c r="M92" s="29" t="str">
        <f ca="1">IFERROR(__xludf.DUMMYFUNCTION("""COMPUTED_VALUE"""),"Cloud comp. (exam), 
N. Nartea, 350/4")</f>
        <v>Cloud comp. (exam), 
N. Nartea, 350/4</v>
      </c>
    </row>
    <row r="93" spans="1:13" ht="26.4" x14ac:dyDescent="0.25">
      <c r="A93" s="37"/>
      <c r="B93" s="11" t="str">
        <f ca="1">IFERROR(__xludf.DUMMYFUNCTION("""COMPUTED_VALUE"""),"III
 11:30-13:00")</f>
        <v>III
 11:30-13:00</v>
      </c>
      <c r="C93" s="28"/>
      <c r="D93" s="28"/>
      <c r="E93" s="28"/>
      <c r="F93" s="28"/>
      <c r="G93" s="29"/>
      <c r="H93" s="27"/>
      <c r="I93" s="28"/>
      <c r="J93" s="28"/>
      <c r="K93" s="29"/>
      <c r="L93" s="14"/>
      <c r="M93" s="13"/>
    </row>
    <row r="94" spans="1:13" ht="39.6" x14ac:dyDescent="0.25">
      <c r="A94" s="37"/>
      <c r="B94" s="11" t="str">
        <f ca="1">IFERROR(__xludf.DUMMYFUNCTION("""COMPUTED_VALUE"""),"IV
 13:15-14:45")</f>
        <v>IV
 13:15-14:45</v>
      </c>
      <c r="C94" s="28"/>
      <c r="D94" s="28"/>
      <c r="E94" s="28"/>
      <c r="F94" s="28"/>
      <c r="G94" s="29" t="str">
        <f ca="1">IFERROR(__xludf.DUMMYFUNCTION("""COMPUTED_VALUE"""),"Rețele de calc. (exam), 
I. Tican, 145a/4")</f>
        <v>Rețele de calc. (exam), 
I. Tican, 145a/4</v>
      </c>
      <c r="H94" s="27"/>
      <c r="I94" s="28"/>
      <c r="J94" s="28"/>
      <c r="K94" s="29"/>
      <c r="L94" s="14"/>
      <c r="M94" s="13"/>
    </row>
    <row r="95" spans="1:13" ht="26.4" x14ac:dyDescent="0.25">
      <c r="A95" s="37"/>
      <c r="B95" s="11" t="str">
        <f ca="1">IFERROR(__xludf.DUMMYFUNCTION("""COMPUTED_VALUE""")," V
15:00-16:30")</f>
        <v xml:space="preserve"> V
15:00-16:30</v>
      </c>
      <c r="C95" s="12"/>
      <c r="D95" s="12"/>
      <c r="E95" s="12"/>
      <c r="F95" s="12"/>
      <c r="G95" s="13"/>
      <c r="H95" s="14"/>
      <c r="I95" s="12"/>
      <c r="J95" s="12"/>
      <c r="K95" s="13"/>
      <c r="L95" s="14"/>
      <c r="M95" s="13"/>
    </row>
    <row r="96" spans="1:13" ht="27" thickBot="1" x14ac:dyDescent="0.3">
      <c r="A96" s="38"/>
      <c r="B96" s="4" t="str">
        <f ca="1">IFERROR(__xludf.DUMMYFUNCTION("""COMPUTED_VALUE"""),"VI
 16:45-18:15")</f>
        <v>VI
 16:45-18:15</v>
      </c>
      <c r="C96" s="15"/>
      <c r="D96" s="15"/>
      <c r="E96" s="15"/>
      <c r="F96" s="15"/>
      <c r="G96" s="16"/>
      <c r="H96" s="17"/>
      <c r="I96" s="15"/>
      <c r="J96" s="15"/>
      <c r="K96" s="16"/>
      <c r="L96" s="17"/>
      <c r="M96" s="16"/>
    </row>
    <row r="97" spans="1:13" ht="27" thickTop="1" x14ac:dyDescent="0.25">
      <c r="A97" s="36" t="str">
        <f ca="1">IFERROR(__xludf.DUMMYFUNCTION("""COMPUTED_VALUE"""),"Duminică,
31.05.2026")</f>
        <v>Duminică,
31.05.2026</v>
      </c>
      <c r="B97" s="18" t="str">
        <f ca="1">IFERROR(__xludf.DUMMYFUNCTION("""COMPUTED_VALUE"""),"I
 08:00-9:30")</f>
        <v>I
 08:00-9:30</v>
      </c>
      <c r="C97" s="19"/>
      <c r="D97" s="19"/>
      <c r="E97" s="19"/>
      <c r="F97" s="19"/>
      <c r="G97" s="20"/>
      <c r="H97" s="21"/>
      <c r="I97" s="19"/>
      <c r="J97" s="19"/>
      <c r="K97" s="20"/>
      <c r="L97" s="21"/>
      <c r="M97" s="20"/>
    </row>
    <row r="98" spans="1:13" ht="39.6" x14ac:dyDescent="0.25">
      <c r="A98" s="37"/>
      <c r="B98" s="11" t="str">
        <f ca="1">IFERROR(__xludf.DUMMYFUNCTION("""COMPUTED_VALUE"""),"II
 09:45-11:15")</f>
        <v>II
 09:45-11:15</v>
      </c>
      <c r="C98" s="28" t="str">
        <f ca="1">IFERROR(__xludf.DUMMYFUNCTION("""COMPUTED_VALUE"""),"Topol. teor. mas. (exam), P. Efros, 415/4")</f>
        <v>Topol. teor. mas. (exam), P. Efros, 415/4</v>
      </c>
      <c r="D98" s="12"/>
      <c r="E98" s="12"/>
      <c r="F98" s="12"/>
      <c r="G98" s="13"/>
      <c r="H98" s="14"/>
      <c r="I98" s="12"/>
      <c r="J98" s="12"/>
      <c r="K98" s="13"/>
      <c r="L98" s="14"/>
      <c r="M98" s="13"/>
    </row>
    <row r="99" spans="1:13" ht="26.4" x14ac:dyDescent="0.25">
      <c r="A99" s="37"/>
      <c r="B99" s="11" t="str">
        <f ca="1">IFERROR(__xludf.DUMMYFUNCTION("""COMPUTED_VALUE"""),"III
 11:30-13:00")</f>
        <v>III
 11:30-13:00</v>
      </c>
      <c r="C99" s="12"/>
      <c r="D99" s="12"/>
      <c r="E99" s="12"/>
      <c r="F99" s="12"/>
      <c r="G99" s="13"/>
      <c r="H99" s="14"/>
      <c r="I99" s="12"/>
      <c r="J99" s="12"/>
      <c r="K99" s="13"/>
      <c r="L99" s="14"/>
      <c r="M99" s="13"/>
    </row>
    <row r="100" spans="1:13" ht="26.4" x14ac:dyDescent="0.25">
      <c r="A100" s="37"/>
      <c r="B100" s="11" t="str">
        <f ca="1">IFERROR(__xludf.DUMMYFUNCTION("""COMPUTED_VALUE"""),"IV
 13:15-14:45")</f>
        <v>IV
 13:15-14:45</v>
      </c>
      <c r="C100" s="12"/>
      <c r="D100" s="12"/>
      <c r="E100" s="12"/>
      <c r="F100" s="12"/>
      <c r="G100" s="13"/>
      <c r="H100" s="14"/>
      <c r="I100" s="12"/>
      <c r="J100" s="12"/>
      <c r="K100" s="13"/>
      <c r="L100" s="14"/>
      <c r="M100" s="13"/>
    </row>
    <row r="101" spans="1:13" ht="26.4" x14ac:dyDescent="0.25">
      <c r="A101" s="37"/>
      <c r="B101" s="11" t="str">
        <f ca="1">IFERROR(__xludf.DUMMYFUNCTION("""COMPUTED_VALUE""")," V
15:00-16:30")</f>
        <v xml:space="preserve"> V
15:00-16:30</v>
      </c>
      <c r="C101" s="12"/>
      <c r="D101" s="12"/>
      <c r="E101" s="12"/>
      <c r="F101" s="12"/>
      <c r="G101" s="13"/>
      <c r="H101" s="14"/>
      <c r="I101" s="12"/>
      <c r="J101" s="12"/>
      <c r="K101" s="13"/>
      <c r="L101" s="14"/>
      <c r="M101" s="13"/>
    </row>
    <row r="102" spans="1:13" ht="27" thickBot="1" x14ac:dyDescent="0.3">
      <c r="A102" s="38"/>
      <c r="B102" s="4" t="str">
        <f ca="1">IFERROR(__xludf.DUMMYFUNCTION("""COMPUTED_VALUE"""),"VI
 16:45-18:15")</f>
        <v>VI
 16:45-18:15</v>
      </c>
      <c r="C102" s="15"/>
      <c r="D102" s="15"/>
      <c r="E102" s="15"/>
      <c r="F102" s="15"/>
      <c r="G102" s="16"/>
      <c r="H102" s="17"/>
      <c r="I102" s="15"/>
      <c r="J102" s="15"/>
      <c r="K102" s="16"/>
      <c r="L102" s="17"/>
      <c r="M102" s="16"/>
    </row>
    <row r="103" spans="1:13" ht="14.4" thickTop="1" thickBot="1" x14ac:dyDescent="0.3">
      <c r="A103" s="22"/>
      <c r="B103" s="2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27" thickTop="1" x14ac:dyDescent="0.25">
      <c r="A104" s="36" t="str">
        <f ca="1">IFERROR(__xludf.DUMMYFUNCTION("""COMPUTED_VALUE"""),"Luni,
01.06.2026")</f>
        <v>Luni,
01.06.2026</v>
      </c>
      <c r="B104" s="23" t="str">
        <f ca="1">IFERROR(__xludf.DUMMYFUNCTION("""COMPUTED_VALUE""")," I
15:00-16:30")</f>
        <v xml:space="preserve"> I
15:00-16:30</v>
      </c>
      <c r="C104" s="24"/>
      <c r="D104" s="24"/>
      <c r="E104" s="24"/>
      <c r="F104" s="24"/>
      <c r="G104" s="25"/>
      <c r="H104" s="26"/>
      <c r="I104" s="24"/>
      <c r="J104" s="24"/>
      <c r="K104" s="25"/>
      <c r="L104" s="26"/>
      <c r="M104" s="25"/>
    </row>
    <row r="105" spans="1:13" ht="26.4" x14ac:dyDescent="0.25">
      <c r="A105" s="37"/>
      <c r="B105" s="11" t="str">
        <f ca="1">IFERROR(__xludf.DUMMYFUNCTION("""COMPUTED_VALUE""")," II
16:45-18:15")</f>
        <v xml:space="preserve"> II
16:45-18:15</v>
      </c>
      <c r="C105" s="12"/>
      <c r="D105" s="12"/>
      <c r="E105" s="12"/>
      <c r="F105" s="12"/>
      <c r="G105" s="13"/>
      <c r="H105" s="14"/>
      <c r="I105" s="12"/>
      <c r="J105" s="12"/>
      <c r="K105" s="13"/>
      <c r="L105" s="14"/>
      <c r="M105" s="13"/>
    </row>
    <row r="106" spans="1:13" ht="27" thickBot="1" x14ac:dyDescent="0.3">
      <c r="A106" s="38"/>
      <c r="B106" s="4" t="str">
        <f ca="1">IFERROR(__xludf.DUMMYFUNCTION("""COMPUTED_VALUE"""),"III
18:30-20:00")</f>
        <v>III
18:30-20:00</v>
      </c>
      <c r="C106" s="33"/>
      <c r="D106" s="33"/>
      <c r="E106" s="33"/>
      <c r="F106" s="33"/>
      <c r="G106" s="34"/>
      <c r="H106" s="35"/>
      <c r="I106" s="33"/>
      <c r="J106" s="33"/>
      <c r="K106" s="34"/>
      <c r="L106" s="35"/>
      <c r="M106" s="34"/>
    </row>
    <row r="107" spans="1:13" ht="27" thickTop="1" x14ac:dyDescent="0.25">
      <c r="A107" s="36" t="str">
        <f ca="1">IFERROR(__xludf.DUMMYFUNCTION("""COMPUTED_VALUE"""),"Marți,
02.06.2026")</f>
        <v>Marți,
02.06.2026</v>
      </c>
      <c r="B107" s="18" t="str">
        <f ca="1">IFERROR(__xludf.DUMMYFUNCTION("""COMPUTED_VALUE""")," I
15:00-16:30")</f>
        <v xml:space="preserve"> I
15:00-16:30</v>
      </c>
      <c r="C107" s="19"/>
      <c r="D107" s="19"/>
      <c r="E107" s="19"/>
      <c r="F107" s="19"/>
      <c r="G107" s="20"/>
      <c r="H107" s="21"/>
      <c r="I107" s="19"/>
      <c r="J107" s="19"/>
      <c r="K107" s="20"/>
      <c r="L107" s="21"/>
      <c r="M107" s="20"/>
    </row>
    <row r="108" spans="1:13" ht="26.4" x14ac:dyDescent="0.25">
      <c r="A108" s="37"/>
      <c r="B108" s="11" t="str">
        <f ca="1">IFERROR(__xludf.DUMMYFUNCTION("""COMPUTED_VALUE"""),"II
16:45-18:15")</f>
        <v>II
16:45-18:15</v>
      </c>
      <c r="C108" s="28" t="str">
        <f ca="1">IFERROR(__xludf.DUMMYFUNCTION("""COMPUTED_VALUE"""),"Python (exam), B. Hâncu, 239/4")</f>
        <v>Python (exam), B. Hâncu, 239/4</v>
      </c>
      <c r="D108" s="28" t="str">
        <f ca="1">IFERROR(__xludf.DUMMYFUNCTION("""COMPUTED_VALUE"""),"POO (exam), 
A. Arnaut, 213a/4")</f>
        <v>POO (exam), 
A. Arnaut, 213a/4</v>
      </c>
      <c r="E108" s="28" t="str">
        <f ca="1">IFERROR(__xludf.DUMMYFUNCTION("""COMPUTED_VALUE"""),"POO (exam), 
A. Arnaut, 213a/4")</f>
        <v>POO (exam), 
A. Arnaut, 213a/4</v>
      </c>
      <c r="F108" s="28" t="str">
        <f ca="1">IFERROR(__xludf.DUMMYFUNCTION("""COMPUTED_VALUE"""),"POO (exam), 
A. Arnaut, 213a/4")</f>
        <v>POO (exam), 
A. Arnaut, 213a/4</v>
      </c>
      <c r="G108" s="29" t="str">
        <f ca="1">IFERROR(__xludf.DUMMYFUNCTION("""COMPUTED_VALUE"""),"POO (exam), 
Gh. Latul, 222/4")</f>
        <v>POO (exam), 
Gh. Latul, 222/4</v>
      </c>
      <c r="H108" s="27" t="str">
        <f ca="1">IFERROR(__xludf.DUMMYFUNCTION("""COMPUTED_VALUE"""),"GA 2D (exam), 
A. Șchiopu, 145a/4")</f>
        <v>GA 2D (exam), 
A. Șchiopu, 145a/4</v>
      </c>
      <c r="I108" s="28" t="str">
        <f ca="1">IFERROR(__xludf.DUMMYFUNCTION("""COMPUTED_VALUE"""),"GA 2D (exam), 
C. Crudu, 145/4")</f>
        <v>GA 2D (exam), 
C. Crudu, 145/4</v>
      </c>
      <c r="J108" s="28" t="str">
        <f ca="1">IFERROR(__xludf.DUMMYFUNCTION("""COMPUTED_VALUE"""),"Pedagogie (exam), 
V. Clichici, 415/4")</f>
        <v>Pedagogie (exam), 
V. Clichici, 415/4</v>
      </c>
      <c r="K108" s="29" t="str">
        <f ca="1">IFERROR(__xludf.DUMMYFUNCTION("""COMPUTED_VALUE"""),"GA 2D (exam), 
T. Iațîșina, 143/4")</f>
        <v>GA 2D (exam), 
T. Iațîșina, 143/4</v>
      </c>
      <c r="L108" s="27" t="str">
        <f ca="1">IFERROR(__xludf.DUMMYFUNCTION("""COMPUTED_VALUE"""),"IA (exam), 
T. Bumbu, 113/4")</f>
        <v>IA (exam), 
T. Bumbu, 113/4</v>
      </c>
      <c r="M108" s="29" t="str">
        <f ca="1">IFERROR(__xludf.DUMMYFUNCTION("""COMPUTED_VALUE"""),"IA (exam), 
T. Bumbu, 113/4")</f>
        <v>IA (exam), 
T. Bumbu, 113/4</v>
      </c>
    </row>
    <row r="109" spans="1:13" ht="27" thickBot="1" x14ac:dyDescent="0.3">
      <c r="A109" s="38"/>
      <c r="B109" s="11" t="str">
        <f ca="1">IFERROR(__xludf.DUMMYFUNCTION("""COMPUTED_VALUE""")," III
18:30-20:00")</f>
        <v xml:space="preserve"> III
18:30-20:00</v>
      </c>
      <c r="C109" s="12"/>
      <c r="D109" s="12"/>
      <c r="E109" s="12"/>
      <c r="F109" s="12"/>
      <c r="G109" s="13"/>
      <c r="H109" s="14"/>
      <c r="I109" s="12"/>
      <c r="J109" s="12"/>
      <c r="K109" s="13"/>
      <c r="L109" s="14"/>
      <c r="M109" s="13"/>
    </row>
    <row r="110" spans="1:13" ht="27" thickTop="1" x14ac:dyDescent="0.25">
      <c r="A110" s="36" t="str">
        <f ca="1">IFERROR(__xludf.DUMMYFUNCTION("""COMPUTED_VALUE"""),"Miercuri,
03.06.2026")</f>
        <v>Miercuri,
03.06.2026</v>
      </c>
      <c r="B110" s="11" t="str">
        <f ca="1">IFERROR(__xludf.DUMMYFUNCTION("""COMPUTED_VALUE""")," I
15:00-16:30")</f>
        <v xml:space="preserve"> I
15:00-16:30</v>
      </c>
      <c r="C110" s="12"/>
      <c r="D110" s="12"/>
      <c r="E110" s="12"/>
      <c r="F110" s="12"/>
      <c r="G110" s="13"/>
      <c r="H110" s="14"/>
      <c r="I110" s="12"/>
      <c r="J110" s="12"/>
      <c r="K110" s="13"/>
      <c r="L110" s="14"/>
      <c r="M110" s="13"/>
    </row>
    <row r="111" spans="1:13" ht="26.4" x14ac:dyDescent="0.25">
      <c r="A111" s="37"/>
      <c r="B111" s="11" t="str">
        <f ca="1">IFERROR(__xludf.DUMMYFUNCTION("""COMPUTED_VALUE""")," II
16:45-18:15")</f>
        <v xml:space="preserve"> II
16:45-18:15</v>
      </c>
      <c r="C111" s="12"/>
      <c r="D111" s="12"/>
      <c r="E111" s="12"/>
      <c r="F111" s="12"/>
      <c r="G111" s="13"/>
      <c r="H111" s="14"/>
      <c r="I111" s="12"/>
      <c r="J111" s="12"/>
      <c r="K111" s="13"/>
      <c r="L111" s="14"/>
      <c r="M111" s="13"/>
    </row>
    <row r="112" spans="1:13" ht="27" thickBot="1" x14ac:dyDescent="0.3">
      <c r="A112" s="38"/>
      <c r="B112" s="4" t="str">
        <f ca="1">IFERROR(__xludf.DUMMYFUNCTION("""COMPUTED_VALUE"""),"III
 18:30-20:00")</f>
        <v>III
 18:30-20:00</v>
      </c>
      <c r="C112" s="15"/>
      <c r="D112" s="15"/>
      <c r="E112" s="15"/>
      <c r="F112" s="15"/>
      <c r="G112" s="16"/>
      <c r="H112" s="17"/>
      <c r="I112" s="15"/>
      <c r="J112" s="15"/>
      <c r="K112" s="16"/>
      <c r="L112" s="17"/>
      <c r="M112" s="16"/>
    </row>
    <row r="113" spans="1:13" ht="13.8" thickTop="1" x14ac:dyDescent="0.25">
      <c r="A113" s="36" t="str">
        <f ca="1">IFERROR(__xludf.DUMMYFUNCTION("""COMPUTED_VALUE"""),"Joi,
04.06.2026")</f>
        <v>Joi,
04.06.2026</v>
      </c>
      <c r="B113" s="18" t="str">
        <f ca="1">IFERROR(__xludf.DUMMYFUNCTION("""COMPUTED_VALUE"""),"13:15-14:45")</f>
        <v>13:15-14:45</v>
      </c>
      <c r="C113" s="31"/>
      <c r="D113" s="31"/>
      <c r="E113" s="31"/>
      <c r="F113" s="31"/>
      <c r="G113" s="32"/>
      <c r="H113" s="30"/>
      <c r="I113" s="31"/>
      <c r="J113" s="31"/>
      <c r="K113" s="32"/>
      <c r="L113" s="30"/>
      <c r="M113" s="20"/>
    </row>
    <row r="114" spans="1:13" ht="26.4" x14ac:dyDescent="0.25">
      <c r="A114" s="37"/>
      <c r="B114" s="11" t="str">
        <f ca="1">IFERROR(__xludf.DUMMYFUNCTION("""COMPUTED_VALUE""")," I
15:00-16:30")</f>
        <v xml:space="preserve"> I
15:00-16:30</v>
      </c>
      <c r="C114" s="12"/>
      <c r="D114" s="12"/>
      <c r="E114" s="12"/>
      <c r="F114" s="12"/>
      <c r="G114" s="13"/>
      <c r="H114" s="14"/>
      <c r="I114" s="12"/>
      <c r="J114" s="12"/>
      <c r="K114" s="13"/>
      <c r="L114" s="14"/>
      <c r="M114" s="13"/>
    </row>
    <row r="115" spans="1:13" ht="39.6" x14ac:dyDescent="0.25">
      <c r="A115" s="37"/>
      <c r="B115" s="11" t="str">
        <f ca="1">IFERROR(__xludf.DUMMYFUNCTION("""COMPUTED_VALUE"""),"II
 16:45-18:15")</f>
        <v>II
 16:45-18:15</v>
      </c>
      <c r="C115" s="28" t="str">
        <f ca="1">IFERROR(__xludf.DUMMYFUNCTION("""COMPUTED_VALUE"""),"Utilizare TI (exam), C. Țurcan, 219/4a")</f>
        <v>Utilizare TI (exam), C. Țurcan, 219/4a</v>
      </c>
      <c r="D115" s="28" t="str">
        <f ca="1">IFERROR(__xludf.DUMMYFUNCTION("""COMPUTED_VALUE"""),"Python (exam), 
V. Trebiș, 213a/4")</f>
        <v>Python (exam), 
V. Trebiș, 213a/4</v>
      </c>
      <c r="E115" s="28" t="str">
        <f ca="1">IFERROR(__xludf.DUMMYFUNCTION("""COMPUTED_VALUE"""),"Python (exam), 
V. Trebiș, 213a/4")</f>
        <v>Python (exam), 
V. Trebiș, 213a/4</v>
      </c>
      <c r="F115" s="28" t="str">
        <f ca="1">IFERROR(__xludf.DUMMYFUNCTION("""COMPUTED_VALUE"""),"Psih. v. (exam), V. Miron, 415/4")</f>
        <v>Psih. v. (exam), V. Miron, 415/4</v>
      </c>
      <c r="G115" s="29" t="str">
        <f ca="1">IFERROR(__xludf.DUMMYFUNCTION("""COMPUTED_VALUE"""),"Python (exam), 
V. Trebiș, 214/4")</f>
        <v>Python (exam), 
V. Trebiș, 214/4</v>
      </c>
      <c r="H115" s="27" t="str">
        <f ca="1">IFERROR(__xludf.DUMMYFUNCTION("""COMPUTED_VALUE"""),"Cript. sec.inf. (exam), 
O. Cerbu, 404/4")</f>
        <v>Cript. sec.inf. (exam), 
O. Cerbu, 404/4</v>
      </c>
      <c r="I115" s="28" t="str">
        <f ca="1">IFERROR(__xludf.DUMMYFUNCTION("""COMPUTED_VALUE"""),"Cript. sec.inf. (exam), 
O. Cerbu, 404/4")</f>
        <v>Cript. sec.inf. (exam), 
O. Cerbu, 404/4</v>
      </c>
      <c r="J115" s="28" t="str">
        <f ca="1">IFERROR(__xludf.DUMMYFUNCTION("""COMPUTED_VALUE"""),"Ed. compl. (exam), 
M. Valic, 419/4")</f>
        <v>Ed. compl. (exam), 
M. Valic, 419/4</v>
      </c>
      <c r="K115" s="29" t="str">
        <f ca="1">IFERROR(__xludf.DUMMYFUNCTION("""COMPUTED_VALUE"""),"Cript. sec.inf. (exam), 
O. Cerbu, 404.4")</f>
        <v>Cript. sec.inf. (exam), 
O. Cerbu, 404.4</v>
      </c>
      <c r="L115" s="27" t="str">
        <f ca="1">IFERROR(__xludf.DUMMYFUNCTION("""COMPUTED_VALUE"""),"Dezv. apl. mob. (exam), 
C. Crudu, 401/4")</f>
        <v>Dezv. apl. mob. (exam), 
C. Crudu, 401/4</v>
      </c>
      <c r="M115" s="13"/>
    </row>
    <row r="116" spans="1:13" ht="27" thickBot="1" x14ac:dyDescent="0.3">
      <c r="A116" s="38"/>
      <c r="B116" s="4" t="str">
        <f ca="1">IFERROR(__xludf.DUMMYFUNCTION("""COMPUTED_VALUE"""),"III
 18:30-20:00")</f>
        <v>III
 18:30-20:00</v>
      </c>
      <c r="C116" s="33"/>
      <c r="D116" s="15"/>
      <c r="E116" s="15"/>
      <c r="F116" s="15"/>
      <c r="G116" s="16"/>
      <c r="H116" s="17"/>
      <c r="I116" s="15"/>
      <c r="J116" s="15"/>
      <c r="K116" s="16"/>
      <c r="L116" s="17"/>
      <c r="M116" s="16"/>
    </row>
    <row r="117" spans="1:13" ht="27" thickTop="1" x14ac:dyDescent="0.25">
      <c r="A117" s="36" t="str">
        <f ca="1">IFERROR(__xludf.DUMMYFUNCTION("""COMPUTED_VALUE"""),"Vineri,
05.06.2026")</f>
        <v>Vineri,
05.06.2026</v>
      </c>
      <c r="B117" s="18" t="str">
        <f ca="1">IFERROR(__xludf.DUMMYFUNCTION("""COMPUTED_VALUE""")," I
15:00-16:30")</f>
        <v xml:space="preserve"> I
15:00-16:30</v>
      </c>
      <c r="C117" s="19"/>
      <c r="D117" s="19"/>
      <c r="E117" s="19"/>
      <c r="F117" s="19"/>
      <c r="G117" s="20"/>
      <c r="H117" s="21"/>
      <c r="I117" s="19"/>
      <c r="J117" s="19"/>
      <c r="K117" s="20"/>
      <c r="L117" s="21"/>
      <c r="M117" s="20"/>
    </row>
    <row r="118" spans="1:13" ht="39.6" x14ac:dyDescent="0.25">
      <c r="A118" s="37"/>
      <c r="B118" s="11" t="str">
        <f ca="1">IFERROR(__xludf.DUMMYFUNCTION("""COMPUTED_VALUE"""),"II
 16:45-18:15")</f>
        <v>II
 16:45-18:15</v>
      </c>
      <c r="C118" s="28" t="str">
        <f ca="1">IFERROR(__xludf.DUMMYFUNCTION("""COMPUTED_VALUE"""),"Analiza matem. (exam), V. Guțu, 415/4")</f>
        <v>Analiza matem. (exam), V. Guțu, 415/4</v>
      </c>
      <c r="D118" s="12"/>
      <c r="E118" s="12"/>
      <c r="F118" s="12"/>
      <c r="G118" s="13"/>
      <c r="H118" s="14"/>
      <c r="I118" s="12"/>
      <c r="J118" s="12"/>
      <c r="K118" s="13"/>
      <c r="L118" s="14"/>
      <c r="M118" s="13"/>
    </row>
    <row r="119" spans="1:13" ht="27" thickBot="1" x14ac:dyDescent="0.3">
      <c r="A119" s="38"/>
      <c r="B119" s="4" t="str">
        <f ca="1">IFERROR(__xludf.DUMMYFUNCTION("""COMPUTED_VALUE"""),"III
 18:30-20:00")</f>
        <v>III
 18:30-20:00</v>
      </c>
      <c r="C119" s="15"/>
      <c r="D119" s="15"/>
      <c r="E119" s="15"/>
      <c r="F119" s="15"/>
      <c r="G119" s="16"/>
      <c r="H119" s="35"/>
      <c r="I119" s="33"/>
      <c r="J119" s="33"/>
      <c r="K119" s="34"/>
      <c r="L119" s="35"/>
      <c r="M119" s="34"/>
    </row>
    <row r="120" spans="1:13" ht="27" thickTop="1" x14ac:dyDescent="0.25">
      <c r="A120" s="36" t="str">
        <f ca="1">IFERROR(__xludf.DUMMYFUNCTION("""COMPUTED_VALUE"""),"Sîmbătă,
06.06.2026")</f>
        <v>Sîmbătă,
06.06.2026</v>
      </c>
      <c r="B120" s="18" t="str">
        <f ca="1">IFERROR(__xludf.DUMMYFUNCTION("""COMPUTED_VALUE"""),"I
 08:00-9:30")</f>
        <v>I
 08:00-9:30</v>
      </c>
      <c r="C120" s="19"/>
      <c r="D120" s="19"/>
      <c r="E120" s="19"/>
      <c r="F120" s="19"/>
      <c r="G120" s="20"/>
      <c r="H120" s="21"/>
      <c r="I120" s="19"/>
      <c r="J120" s="19"/>
      <c r="K120" s="20"/>
      <c r="L120" s="21"/>
      <c r="M120" s="20"/>
    </row>
    <row r="121" spans="1:13" ht="39.6" x14ac:dyDescent="0.25">
      <c r="A121" s="37"/>
      <c r="B121" s="11" t="str">
        <f ca="1">IFERROR(__xludf.DUMMYFUNCTION("""COMPUTED_VALUE"""),"II
 09:45-11:15")</f>
        <v>II
 09:45-11:15</v>
      </c>
      <c r="C121" s="12"/>
      <c r="D121" s="12"/>
      <c r="E121" s="12"/>
      <c r="F121" s="12"/>
      <c r="G121" s="13"/>
      <c r="H121" s="27" t="str">
        <f ca="1">IFERROR(__xludf.DUMMYFUNCTION("""COMPUTED_VALUE"""),"Alg. str. date (exam), 
S. Corlat, 213a/4")</f>
        <v>Alg. str. date (exam), 
S. Corlat, 213a/4</v>
      </c>
      <c r="I121" s="28" t="str">
        <f ca="1">IFERROR(__xludf.DUMMYFUNCTION("""COMPUTED_VALUE"""),"Alg. str. date (exam), 
S. Corlat, 213a/4")</f>
        <v>Alg. str. date (exam), 
S. Corlat, 213a/4</v>
      </c>
      <c r="J121" s="28" t="str">
        <f ca="1">IFERROR(__xludf.DUMMYFUNCTION("""COMPUTED_VALUE"""),"Alg. str. date (exam), 
S. Corlat, 213a/4")</f>
        <v>Alg. str. date (exam), 
S. Corlat, 213a/4</v>
      </c>
      <c r="K121" s="29" t="str">
        <f ca="1">IFERROR(__xludf.DUMMYFUNCTION("""COMPUTED_VALUE"""),"Alg. str. date (exam), 
S. Corlat, 213a/4")</f>
        <v>Alg. str. date (exam), 
S. Corlat, 213a/4</v>
      </c>
      <c r="L121" s="27" t="str">
        <f ca="1">IFERROR(__xludf.DUMMYFUNCTION("""COMPUTED_VALUE"""),"Design soft. (exam), 
G-C. Stănescu, 222/4")</f>
        <v>Design soft. (exam), 
G-C. Stănescu, 222/4</v>
      </c>
      <c r="M121" s="29" t="str">
        <f ca="1">IFERROR(__xludf.DUMMYFUNCTION("""COMPUTED_VALUE"""),"Design soft. (exam), 
A. Curmanschii, 214/4")</f>
        <v>Design soft. (exam), 
A. Curmanschii, 214/4</v>
      </c>
    </row>
    <row r="122" spans="1:13" ht="26.4" x14ac:dyDescent="0.25">
      <c r="A122" s="37"/>
      <c r="B122" s="11" t="str">
        <f ca="1">IFERROR(__xludf.DUMMYFUNCTION("""COMPUTED_VALUE"""),"III
 11:30-13:00")</f>
        <v>III
 11:30-13:00</v>
      </c>
      <c r="C122" s="12"/>
      <c r="D122" s="12"/>
      <c r="E122" s="12"/>
      <c r="F122" s="12"/>
      <c r="G122" s="13"/>
      <c r="H122" s="14"/>
      <c r="I122" s="12"/>
      <c r="J122" s="12"/>
      <c r="K122" s="13"/>
      <c r="L122" s="14"/>
      <c r="M122" s="13"/>
    </row>
    <row r="123" spans="1:13" ht="26.4" x14ac:dyDescent="0.25">
      <c r="A123" s="37"/>
      <c r="B123" s="11" t="str">
        <f ca="1">IFERROR(__xludf.DUMMYFUNCTION("""COMPUTED_VALUE"""),"IV
 13:15-14:45")</f>
        <v>IV
 13:15-14:45</v>
      </c>
      <c r="C123" s="12"/>
      <c r="D123" s="12"/>
      <c r="E123" s="12"/>
      <c r="F123" s="12"/>
      <c r="G123" s="13"/>
      <c r="H123" s="14"/>
      <c r="I123" s="12"/>
      <c r="J123" s="12"/>
      <c r="K123" s="13"/>
      <c r="L123" s="14"/>
      <c r="M123" s="13"/>
    </row>
    <row r="124" spans="1:13" ht="26.4" x14ac:dyDescent="0.25">
      <c r="A124" s="37"/>
      <c r="B124" s="11" t="str">
        <f ca="1">IFERROR(__xludf.DUMMYFUNCTION("""COMPUTED_VALUE""")," V
15:00-16:30")</f>
        <v xml:space="preserve"> V
15:00-16:30</v>
      </c>
      <c r="C124" s="12"/>
      <c r="D124" s="12"/>
      <c r="E124" s="12"/>
      <c r="F124" s="12"/>
      <c r="G124" s="13"/>
      <c r="H124" s="14"/>
      <c r="I124" s="12"/>
      <c r="J124" s="12"/>
      <c r="K124" s="13"/>
      <c r="L124" s="14"/>
      <c r="M124" s="13"/>
    </row>
    <row r="125" spans="1:13" ht="27" thickBot="1" x14ac:dyDescent="0.3">
      <c r="A125" s="38"/>
      <c r="B125" s="4" t="str">
        <f ca="1">IFERROR(__xludf.DUMMYFUNCTION("""COMPUTED_VALUE"""),"VI
 16:45-18:15")</f>
        <v>VI
 16:45-18:15</v>
      </c>
      <c r="C125" s="15"/>
      <c r="D125" s="15"/>
      <c r="E125" s="15"/>
      <c r="F125" s="15"/>
      <c r="G125" s="16"/>
      <c r="H125" s="17"/>
      <c r="I125" s="15"/>
      <c r="J125" s="15"/>
      <c r="K125" s="16"/>
      <c r="L125" s="17"/>
      <c r="M125" s="16"/>
    </row>
    <row r="126" spans="1:13" ht="27" thickTop="1" x14ac:dyDescent="0.25">
      <c r="A126" s="36" t="str">
        <f ca="1">IFERROR(__xludf.DUMMYFUNCTION("""COMPUTED_VALUE"""),"Duminică,
07.06.2026")</f>
        <v>Duminică,
07.06.2026</v>
      </c>
      <c r="B126" s="18" t="str">
        <f ca="1">IFERROR(__xludf.DUMMYFUNCTION("""COMPUTED_VALUE"""),"I
 08:00-9:30")</f>
        <v>I
 08:00-9:30</v>
      </c>
      <c r="C126" s="19"/>
      <c r="D126" s="19"/>
      <c r="E126" s="19"/>
      <c r="F126" s="19"/>
      <c r="G126" s="20"/>
      <c r="H126" s="21"/>
      <c r="I126" s="19"/>
      <c r="J126" s="19"/>
      <c r="K126" s="20"/>
      <c r="L126" s="21"/>
      <c r="M126" s="20"/>
    </row>
    <row r="127" spans="1:13" ht="26.4" x14ac:dyDescent="0.25">
      <c r="A127" s="37"/>
      <c r="B127" s="11" t="str">
        <f ca="1">IFERROR(__xludf.DUMMYFUNCTION("""COMPUTED_VALUE"""),"II
 09:45-11:15")</f>
        <v>II
 09:45-11:15</v>
      </c>
      <c r="C127" s="12"/>
      <c r="D127" s="12"/>
      <c r="E127" s="12"/>
      <c r="F127" s="12"/>
      <c r="G127" s="13"/>
      <c r="H127" s="14"/>
      <c r="I127" s="12"/>
      <c r="J127" s="12"/>
      <c r="K127" s="13"/>
      <c r="L127" s="14"/>
      <c r="M127" s="13"/>
    </row>
    <row r="128" spans="1:13" ht="26.4" x14ac:dyDescent="0.25">
      <c r="A128" s="37"/>
      <c r="B128" s="11" t="str">
        <f ca="1">IFERROR(__xludf.DUMMYFUNCTION("""COMPUTED_VALUE"""),"III
 11:30-13:00")</f>
        <v>III
 11:30-13:00</v>
      </c>
      <c r="C128" s="12"/>
      <c r="D128" s="12"/>
      <c r="E128" s="12"/>
      <c r="F128" s="12"/>
      <c r="G128" s="13"/>
      <c r="H128" s="14"/>
      <c r="I128" s="12"/>
      <c r="J128" s="12"/>
      <c r="K128" s="13"/>
      <c r="L128" s="14"/>
      <c r="M128" s="13"/>
    </row>
    <row r="129" spans="1:13" ht="26.4" x14ac:dyDescent="0.25">
      <c r="A129" s="37"/>
      <c r="B129" s="11" t="str">
        <f ca="1">IFERROR(__xludf.DUMMYFUNCTION("""COMPUTED_VALUE"""),"IV
 13:15-14:45")</f>
        <v>IV
 13:15-14:45</v>
      </c>
      <c r="C129" s="12"/>
      <c r="D129" s="12"/>
      <c r="E129" s="12"/>
      <c r="F129" s="12"/>
      <c r="G129" s="13"/>
      <c r="H129" s="14"/>
      <c r="I129" s="12"/>
      <c r="J129" s="12"/>
      <c r="K129" s="13"/>
      <c r="L129" s="14"/>
      <c r="M129" s="13"/>
    </row>
    <row r="130" spans="1:13" ht="26.4" x14ac:dyDescent="0.25">
      <c r="A130" s="37"/>
      <c r="B130" s="11" t="str">
        <f ca="1">IFERROR(__xludf.DUMMYFUNCTION("""COMPUTED_VALUE""")," V
15:00-16:30")</f>
        <v xml:space="preserve"> V
15:00-16:30</v>
      </c>
      <c r="C130" s="12"/>
      <c r="D130" s="12"/>
      <c r="E130" s="12"/>
      <c r="F130" s="12"/>
      <c r="G130" s="13"/>
      <c r="H130" s="14"/>
      <c r="I130" s="12"/>
      <c r="J130" s="12"/>
      <c r="K130" s="13"/>
      <c r="L130" s="14"/>
      <c r="M130" s="13"/>
    </row>
    <row r="131" spans="1:13" ht="27" thickBot="1" x14ac:dyDescent="0.3">
      <c r="A131" s="38"/>
      <c r="B131" s="4" t="str">
        <f ca="1">IFERROR(__xludf.DUMMYFUNCTION("""COMPUTED_VALUE"""),"VI
 16:45-18:15")</f>
        <v>VI
 16:45-18:15</v>
      </c>
      <c r="C131" s="15"/>
      <c r="D131" s="15"/>
      <c r="E131" s="15"/>
      <c r="F131" s="15"/>
      <c r="G131" s="16"/>
      <c r="H131" s="17"/>
      <c r="I131" s="15"/>
      <c r="J131" s="15"/>
      <c r="K131" s="16"/>
      <c r="L131" s="17"/>
      <c r="M131" s="16"/>
    </row>
    <row r="132" spans="1:13" ht="13.8" thickTop="1" x14ac:dyDescent="0.25">
      <c r="A132" s="22"/>
      <c r="B132" s="2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3.2" x14ac:dyDescent="0.25">
      <c r="A133" s="22"/>
      <c r="B133" s="2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3.2" x14ac:dyDescent="0.25">
      <c r="A134" s="22"/>
      <c r="B134" s="2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3.2" x14ac:dyDescent="0.25">
      <c r="A135" s="22"/>
      <c r="B135" s="2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3.2" x14ac:dyDescent="0.25">
      <c r="A136" s="22"/>
      <c r="B136" s="2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3.2" x14ac:dyDescent="0.25">
      <c r="A137" s="22"/>
      <c r="B137" s="2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3.2" x14ac:dyDescent="0.25">
      <c r="A138" s="22"/>
      <c r="B138" s="2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3.2" x14ac:dyDescent="0.25">
      <c r="A139" s="22"/>
      <c r="B139" s="2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3.2" x14ac:dyDescent="0.25">
      <c r="A140" s="22"/>
      <c r="B140" s="2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3.2" x14ac:dyDescent="0.25">
      <c r="A141" s="22"/>
      <c r="B141" s="2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3.2" x14ac:dyDescent="0.25">
      <c r="A142" s="22"/>
      <c r="B142" s="2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3.2" x14ac:dyDescent="0.25">
      <c r="A143" s="22"/>
      <c r="B143" s="2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3.2" x14ac:dyDescent="0.25">
      <c r="A144" s="22"/>
      <c r="B144" s="2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3.2" x14ac:dyDescent="0.25">
      <c r="A145" s="22"/>
      <c r="B145" s="2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3.2" x14ac:dyDescent="0.25">
      <c r="A146" s="22"/>
      <c r="B146" s="2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3.2" x14ac:dyDescent="0.25">
      <c r="A147" s="22"/>
      <c r="B147" s="2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3.2" x14ac:dyDescent="0.25">
      <c r="A148" s="22"/>
      <c r="B148" s="2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3.2" x14ac:dyDescent="0.25">
      <c r="A149" s="22"/>
      <c r="B149" s="2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3.2" x14ac:dyDescent="0.25">
      <c r="A150" s="22"/>
      <c r="B150" s="2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3.2" x14ac:dyDescent="0.25">
      <c r="A151" s="22"/>
      <c r="B151" s="2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3.2" x14ac:dyDescent="0.25">
      <c r="A152" s="22"/>
      <c r="B152" s="2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3.2" x14ac:dyDescent="0.25">
      <c r="A153" s="22"/>
      <c r="B153" s="2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3.2" x14ac:dyDescent="0.25">
      <c r="A154" s="22"/>
      <c r="B154" s="2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3.2" x14ac:dyDescent="0.25">
      <c r="A155" s="22"/>
      <c r="B155" s="2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3.2" x14ac:dyDescent="0.25">
      <c r="A156" s="22"/>
      <c r="B156" s="2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3.2" x14ac:dyDescent="0.25">
      <c r="A157" s="22"/>
      <c r="B157" s="2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3.2" x14ac:dyDescent="0.25">
      <c r="A158" s="22"/>
      <c r="B158" s="2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3.2" x14ac:dyDescent="0.25">
      <c r="A159" s="22"/>
      <c r="B159" s="2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3.2" x14ac:dyDescent="0.25">
      <c r="A160" s="22"/>
      <c r="B160" s="2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3.2" x14ac:dyDescent="0.25">
      <c r="A161" s="22"/>
      <c r="B161" s="2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3.2" x14ac:dyDescent="0.25">
      <c r="A162" s="22"/>
      <c r="B162" s="2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3.2" x14ac:dyDescent="0.25">
      <c r="A163" s="22"/>
      <c r="B163" s="2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3.2" x14ac:dyDescent="0.25">
      <c r="A164" s="22"/>
      <c r="B164" s="2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3.2" x14ac:dyDescent="0.25">
      <c r="A165" s="22"/>
      <c r="B165" s="2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3.2" x14ac:dyDescent="0.25">
      <c r="A166" s="22"/>
      <c r="B166" s="2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3.2" x14ac:dyDescent="0.25">
      <c r="A167" s="22"/>
      <c r="B167" s="2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3.2" x14ac:dyDescent="0.25">
      <c r="A168" s="22"/>
      <c r="B168" s="2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3.2" x14ac:dyDescent="0.25">
      <c r="A169" s="22"/>
      <c r="B169" s="2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3.2" x14ac:dyDescent="0.25">
      <c r="A170" s="22"/>
      <c r="B170" s="2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3.2" x14ac:dyDescent="0.25">
      <c r="A171" s="22"/>
      <c r="B171" s="2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3.2" x14ac:dyDescent="0.25">
      <c r="A172" s="22"/>
      <c r="B172" s="2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3.2" x14ac:dyDescent="0.25">
      <c r="A173" s="22"/>
      <c r="B173" s="2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3.2" x14ac:dyDescent="0.25">
      <c r="A174" s="22"/>
      <c r="B174" s="2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3.2" x14ac:dyDescent="0.25">
      <c r="A175" s="22"/>
      <c r="B175" s="2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3.2" x14ac:dyDescent="0.25">
      <c r="A176" s="22"/>
      <c r="B176" s="2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3.2" x14ac:dyDescent="0.25">
      <c r="A177" s="22"/>
      <c r="B177" s="2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3.2" x14ac:dyDescent="0.25">
      <c r="A178" s="22"/>
      <c r="B178" s="2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3.2" x14ac:dyDescent="0.25">
      <c r="A179" s="22"/>
      <c r="B179" s="2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3.2" x14ac:dyDescent="0.25">
      <c r="A180" s="22"/>
      <c r="B180" s="2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3.2" x14ac:dyDescent="0.25">
      <c r="A181" s="22"/>
      <c r="B181" s="2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3.2" x14ac:dyDescent="0.25">
      <c r="A182" s="22"/>
      <c r="B182" s="2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3.2" x14ac:dyDescent="0.25">
      <c r="A183" s="22"/>
      <c r="B183" s="2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3.2" x14ac:dyDescent="0.25">
      <c r="A184" s="22"/>
      <c r="B184" s="2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3.2" x14ac:dyDescent="0.25">
      <c r="A185" s="22"/>
      <c r="B185" s="2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3.2" x14ac:dyDescent="0.25">
      <c r="A186" s="22"/>
      <c r="B186" s="2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3.2" x14ac:dyDescent="0.25">
      <c r="A187" s="22"/>
      <c r="B187" s="2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3.2" x14ac:dyDescent="0.25">
      <c r="A188" s="22"/>
      <c r="B188" s="2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3.2" x14ac:dyDescent="0.25">
      <c r="A189" s="22"/>
      <c r="B189" s="2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3.2" x14ac:dyDescent="0.25">
      <c r="A190" s="22"/>
      <c r="B190" s="2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3.2" x14ac:dyDescent="0.25">
      <c r="A191" s="22"/>
      <c r="B191" s="2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3.2" x14ac:dyDescent="0.25">
      <c r="A192" s="22"/>
      <c r="B192" s="2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3.2" x14ac:dyDescent="0.25">
      <c r="A193" s="22"/>
      <c r="B193" s="2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3.2" x14ac:dyDescent="0.25">
      <c r="A194" s="22"/>
      <c r="B194" s="2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3.2" x14ac:dyDescent="0.25">
      <c r="A195" s="22"/>
      <c r="B195" s="2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3.2" x14ac:dyDescent="0.25">
      <c r="A196" s="22"/>
      <c r="B196" s="2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3.2" x14ac:dyDescent="0.25">
      <c r="A197" s="22"/>
      <c r="B197" s="2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3.2" x14ac:dyDescent="0.25">
      <c r="A198" s="22"/>
      <c r="B198" s="2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3.2" x14ac:dyDescent="0.25">
      <c r="A199" s="22"/>
      <c r="B199" s="2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3.2" x14ac:dyDescent="0.25">
      <c r="A200" s="22"/>
      <c r="B200" s="2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3.2" x14ac:dyDescent="0.25">
      <c r="A201" s="22"/>
      <c r="B201" s="2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3.2" x14ac:dyDescent="0.25">
      <c r="A202" s="22"/>
      <c r="B202" s="2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3.2" x14ac:dyDescent="0.25">
      <c r="A203" s="22"/>
      <c r="B203" s="2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3.2" x14ac:dyDescent="0.25">
      <c r="A204" s="22"/>
      <c r="B204" s="2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3.2" x14ac:dyDescent="0.25">
      <c r="A205" s="22"/>
      <c r="B205" s="2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3.2" x14ac:dyDescent="0.25">
      <c r="A206" s="22"/>
      <c r="B206" s="2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3.2" x14ac:dyDescent="0.25">
      <c r="A207" s="22"/>
      <c r="B207" s="2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3.2" x14ac:dyDescent="0.25">
      <c r="A208" s="22"/>
      <c r="B208" s="2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3.2" x14ac:dyDescent="0.25">
      <c r="A209" s="22"/>
      <c r="B209" s="2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3.2" x14ac:dyDescent="0.25">
      <c r="A210" s="22"/>
      <c r="B210" s="2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3.2" x14ac:dyDescent="0.25">
      <c r="A211" s="22"/>
      <c r="B211" s="2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3.2" x14ac:dyDescent="0.25">
      <c r="A212" s="22"/>
      <c r="B212" s="2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3.2" x14ac:dyDescent="0.25">
      <c r="A213" s="22"/>
      <c r="B213" s="2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3.2" x14ac:dyDescent="0.25">
      <c r="A214" s="22"/>
      <c r="B214" s="2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3.2" x14ac:dyDescent="0.25">
      <c r="A215" s="22"/>
      <c r="B215" s="2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3.2" x14ac:dyDescent="0.25">
      <c r="A216" s="22"/>
      <c r="B216" s="2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3.2" x14ac:dyDescent="0.25">
      <c r="A217" s="22"/>
      <c r="B217" s="2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3.2" x14ac:dyDescent="0.25">
      <c r="A218" s="22"/>
      <c r="B218" s="2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3.2" x14ac:dyDescent="0.25">
      <c r="A219" s="22"/>
      <c r="B219" s="2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3.2" x14ac:dyDescent="0.25">
      <c r="A220" s="22"/>
      <c r="B220" s="2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3.2" x14ac:dyDescent="0.25">
      <c r="A221" s="22"/>
      <c r="B221" s="2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3.2" x14ac:dyDescent="0.25">
      <c r="A222" s="22"/>
      <c r="B222" s="2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3.2" x14ac:dyDescent="0.25">
      <c r="A223" s="22"/>
      <c r="B223" s="2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3.2" x14ac:dyDescent="0.25">
      <c r="A224" s="22"/>
      <c r="B224" s="2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3.2" x14ac:dyDescent="0.25">
      <c r="A225" s="22"/>
      <c r="B225" s="2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3.2" x14ac:dyDescent="0.25">
      <c r="A226" s="22"/>
      <c r="B226" s="2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3.2" x14ac:dyDescent="0.25">
      <c r="A227" s="22"/>
      <c r="B227" s="2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3.2" x14ac:dyDescent="0.25">
      <c r="A228" s="22"/>
      <c r="B228" s="2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3.2" x14ac:dyDescent="0.25">
      <c r="A229" s="22"/>
      <c r="B229" s="2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3.2" x14ac:dyDescent="0.25">
      <c r="A230" s="22"/>
      <c r="B230" s="2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3.2" x14ac:dyDescent="0.25">
      <c r="A231" s="22"/>
      <c r="B231" s="2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3.2" x14ac:dyDescent="0.25">
      <c r="A232" s="22"/>
      <c r="B232" s="2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3.2" x14ac:dyDescent="0.25">
      <c r="A233" s="22"/>
      <c r="B233" s="2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3.2" x14ac:dyDescent="0.25">
      <c r="A234" s="22"/>
      <c r="B234" s="2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3.2" x14ac:dyDescent="0.25">
      <c r="A235" s="22"/>
      <c r="B235" s="2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3.2" x14ac:dyDescent="0.25">
      <c r="A236" s="22"/>
      <c r="B236" s="2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3.2" x14ac:dyDescent="0.25">
      <c r="A237" s="22"/>
      <c r="B237" s="2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3.2" x14ac:dyDescent="0.25">
      <c r="A238" s="22"/>
      <c r="B238" s="2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3.2" x14ac:dyDescent="0.25">
      <c r="A239" s="22"/>
      <c r="B239" s="2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3.2" x14ac:dyDescent="0.25">
      <c r="A240" s="22"/>
      <c r="B240" s="2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3.2" x14ac:dyDescent="0.25">
      <c r="A241" s="22"/>
      <c r="B241" s="2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3.2" x14ac:dyDescent="0.25">
      <c r="A242" s="22"/>
      <c r="B242" s="2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3.2" x14ac:dyDescent="0.25">
      <c r="A243" s="22"/>
      <c r="B243" s="2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3.2" x14ac:dyDescent="0.25">
      <c r="A244" s="22"/>
      <c r="B244" s="2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3.2" x14ac:dyDescent="0.25">
      <c r="A245" s="22"/>
      <c r="B245" s="2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3.2" x14ac:dyDescent="0.25">
      <c r="A246" s="22"/>
      <c r="B246" s="2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3.2" x14ac:dyDescent="0.25">
      <c r="A247" s="22"/>
      <c r="B247" s="2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3.2" x14ac:dyDescent="0.25">
      <c r="A248" s="22"/>
      <c r="B248" s="2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3.2" x14ac:dyDescent="0.25">
      <c r="A249" s="22"/>
      <c r="B249" s="2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3.2" x14ac:dyDescent="0.25">
      <c r="A250" s="22"/>
      <c r="B250" s="2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3.2" x14ac:dyDescent="0.25">
      <c r="A251" s="22"/>
      <c r="B251" s="2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3.2" x14ac:dyDescent="0.25">
      <c r="A252" s="22"/>
      <c r="B252" s="2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3.2" x14ac:dyDescent="0.25">
      <c r="A253" s="22"/>
      <c r="B253" s="2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3.2" x14ac:dyDescent="0.25">
      <c r="A254" s="22"/>
      <c r="B254" s="2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3.2" x14ac:dyDescent="0.25">
      <c r="A255" s="22"/>
      <c r="B255" s="2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3.2" x14ac:dyDescent="0.25">
      <c r="A256" s="22"/>
      <c r="B256" s="2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3.2" x14ac:dyDescent="0.25">
      <c r="A257" s="22"/>
      <c r="B257" s="2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3.2" x14ac:dyDescent="0.25">
      <c r="A258" s="22"/>
      <c r="B258" s="2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3.2" x14ac:dyDescent="0.25">
      <c r="A259" s="22"/>
      <c r="B259" s="2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3.2" x14ac:dyDescent="0.25">
      <c r="A260" s="22"/>
      <c r="B260" s="2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3.2" x14ac:dyDescent="0.25">
      <c r="A261" s="22"/>
      <c r="B261" s="2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3.2" x14ac:dyDescent="0.25">
      <c r="A262" s="22"/>
      <c r="B262" s="2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3.2" x14ac:dyDescent="0.25">
      <c r="A263" s="22"/>
      <c r="B263" s="2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3.2" x14ac:dyDescent="0.25">
      <c r="A264" s="22"/>
      <c r="B264" s="2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3.2" x14ac:dyDescent="0.25">
      <c r="A265" s="22"/>
      <c r="B265" s="2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3.2" x14ac:dyDescent="0.25">
      <c r="A266" s="22"/>
      <c r="B266" s="2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3.2" x14ac:dyDescent="0.25">
      <c r="A267" s="22"/>
      <c r="B267" s="2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3.2" x14ac:dyDescent="0.25">
      <c r="A268" s="22"/>
      <c r="B268" s="2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3.2" x14ac:dyDescent="0.25">
      <c r="A269" s="22"/>
      <c r="B269" s="2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3.2" x14ac:dyDescent="0.25">
      <c r="A270" s="22"/>
      <c r="B270" s="2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3.2" x14ac:dyDescent="0.25">
      <c r="A271" s="22"/>
      <c r="B271" s="2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3.2" x14ac:dyDescent="0.25">
      <c r="A272" s="22"/>
      <c r="B272" s="2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3.2" x14ac:dyDescent="0.25">
      <c r="A273" s="22"/>
      <c r="B273" s="2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3.2" x14ac:dyDescent="0.25">
      <c r="A274" s="22"/>
      <c r="B274" s="2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3.2" x14ac:dyDescent="0.25">
      <c r="A275" s="22"/>
      <c r="B275" s="2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3.2" x14ac:dyDescent="0.25">
      <c r="A276" s="22"/>
      <c r="B276" s="2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3.2" x14ac:dyDescent="0.25">
      <c r="A277" s="22"/>
      <c r="B277" s="2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3.2" x14ac:dyDescent="0.25">
      <c r="A278" s="22"/>
      <c r="B278" s="2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3.2" x14ac:dyDescent="0.25">
      <c r="A279" s="22"/>
      <c r="B279" s="2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3.2" x14ac:dyDescent="0.25">
      <c r="A280" s="22"/>
      <c r="B280" s="2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3.2" x14ac:dyDescent="0.25">
      <c r="A281" s="22"/>
      <c r="B281" s="2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3.2" x14ac:dyDescent="0.25">
      <c r="A282" s="22"/>
      <c r="B282" s="2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3.2" x14ac:dyDescent="0.25">
      <c r="A283" s="22"/>
      <c r="B283" s="2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3.2" x14ac:dyDescent="0.25">
      <c r="A284" s="22"/>
      <c r="B284" s="2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3.2" x14ac:dyDescent="0.25">
      <c r="A285" s="22"/>
      <c r="B285" s="2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3.2" x14ac:dyDescent="0.25">
      <c r="A286" s="22"/>
      <c r="B286" s="2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3.2" x14ac:dyDescent="0.25">
      <c r="A287" s="22"/>
      <c r="B287" s="2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3.2" x14ac:dyDescent="0.25">
      <c r="A288" s="22"/>
      <c r="B288" s="2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3.2" x14ac:dyDescent="0.25">
      <c r="A289" s="22"/>
      <c r="B289" s="2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3.2" x14ac:dyDescent="0.25">
      <c r="A290" s="22"/>
      <c r="B290" s="2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3.2" x14ac:dyDescent="0.25">
      <c r="A291" s="22"/>
      <c r="B291" s="2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3.2" x14ac:dyDescent="0.25">
      <c r="A292" s="22"/>
      <c r="B292" s="2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3.2" x14ac:dyDescent="0.25">
      <c r="A293" s="22"/>
      <c r="B293" s="2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3.2" x14ac:dyDescent="0.25">
      <c r="A294" s="22"/>
      <c r="B294" s="2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3.2" x14ac:dyDescent="0.25">
      <c r="A295" s="22"/>
      <c r="B295" s="2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3.2" x14ac:dyDescent="0.25">
      <c r="A296" s="22"/>
      <c r="B296" s="2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3.2" x14ac:dyDescent="0.25">
      <c r="A297" s="22"/>
      <c r="B297" s="2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3.2" x14ac:dyDescent="0.25">
      <c r="A298" s="22"/>
      <c r="B298" s="2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3.2" x14ac:dyDescent="0.25">
      <c r="A299" s="22"/>
      <c r="B299" s="2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3.2" x14ac:dyDescent="0.25">
      <c r="A300" s="22"/>
      <c r="B300" s="2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3.2" x14ac:dyDescent="0.25">
      <c r="A301" s="22"/>
      <c r="B301" s="2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3.2" x14ac:dyDescent="0.25">
      <c r="A302" s="22"/>
      <c r="B302" s="2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3.2" x14ac:dyDescent="0.25">
      <c r="A303" s="22"/>
      <c r="B303" s="2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3.2" x14ac:dyDescent="0.25">
      <c r="A304" s="22"/>
      <c r="B304" s="2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3.2" x14ac:dyDescent="0.25">
      <c r="A305" s="22"/>
      <c r="B305" s="2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3.2" x14ac:dyDescent="0.25">
      <c r="A306" s="22"/>
      <c r="B306" s="2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3.2" x14ac:dyDescent="0.25">
      <c r="A307" s="22"/>
      <c r="B307" s="2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3.2" x14ac:dyDescent="0.25">
      <c r="A308" s="22"/>
      <c r="B308" s="2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3.2" x14ac:dyDescent="0.25">
      <c r="A309" s="22"/>
      <c r="B309" s="2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3.2" x14ac:dyDescent="0.25">
      <c r="A310" s="22"/>
      <c r="B310" s="2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3.2" x14ac:dyDescent="0.25">
      <c r="A311" s="22"/>
      <c r="B311" s="2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3.2" x14ac:dyDescent="0.25">
      <c r="A312" s="22"/>
      <c r="B312" s="2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3.2" x14ac:dyDescent="0.25">
      <c r="A313" s="22"/>
      <c r="B313" s="2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3.2" x14ac:dyDescent="0.25">
      <c r="A314" s="22"/>
      <c r="B314" s="2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3.2" x14ac:dyDescent="0.25">
      <c r="A315" s="22"/>
      <c r="B315" s="2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3.2" x14ac:dyDescent="0.25">
      <c r="A316" s="22"/>
      <c r="B316" s="2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3.2" x14ac:dyDescent="0.25">
      <c r="A317" s="22"/>
      <c r="B317" s="2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3.2" x14ac:dyDescent="0.25">
      <c r="A318" s="22"/>
      <c r="B318" s="2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3.2" x14ac:dyDescent="0.25">
      <c r="A319" s="22"/>
      <c r="B319" s="2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3.2" x14ac:dyDescent="0.25">
      <c r="A320" s="22"/>
      <c r="B320" s="2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3.2" x14ac:dyDescent="0.25">
      <c r="A321" s="22"/>
      <c r="B321" s="2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3.2" x14ac:dyDescent="0.25">
      <c r="A322" s="22"/>
      <c r="B322" s="2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3.2" x14ac:dyDescent="0.25">
      <c r="A323" s="22"/>
      <c r="B323" s="2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3.2" x14ac:dyDescent="0.25">
      <c r="A324" s="22"/>
      <c r="B324" s="2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3.2" x14ac:dyDescent="0.25">
      <c r="A325" s="22"/>
      <c r="B325" s="2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3.2" x14ac:dyDescent="0.25">
      <c r="A326" s="22"/>
      <c r="B326" s="2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3.2" x14ac:dyDescent="0.25">
      <c r="A327" s="22"/>
      <c r="B327" s="2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3.2" x14ac:dyDescent="0.25">
      <c r="A328" s="22"/>
      <c r="B328" s="2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3.2" x14ac:dyDescent="0.25">
      <c r="A329" s="22"/>
      <c r="B329" s="2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3.2" x14ac:dyDescent="0.25">
      <c r="A330" s="22"/>
      <c r="B330" s="2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3.2" x14ac:dyDescent="0.25">
      <c r="A331" s="22"/>
      <c r="B331" s="2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3.2" x14ac:dyDescent="0.25">
      <c r="A332" s="22"/>
      <c r="B332" s="2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3.2" x14ac:dyDescent="0.25">
      <c r="A333" s="22"/>
      <c r="B333" s="2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3.2" x14ac:dyDescent="0.25">
      <c r="A334" s="22"/>
      <c r="B334" s="2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3.2" x14ac:dyDescent="0.25">
      <c r="A335" s="22"/>
      <c r="B335" s="2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3.2" x14ac:dyDescent="0.25">
      <c r="A336" s="22"/>
      <c r="B336" s="2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3.2" x14ac:dyDescent="0.25">
      <c r="A337" s="22"/>
      <c r="B337" s="2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3.2" x14ac:dyDescent="0.25">
      <c r="A338" s="22"/>
      <c r="B338" s="2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3.2" x14ac:dyDescent="0.25">
      <c r="A339" s="22"/>
      <c r="B339" s="2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3.2" x14ac:dyDescent="0.25">
      <c r="A340" s="22"/>
      <c r="B340" s="2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3.2" x14ac:dyDescent="0.25">
      <c r="A341" s="22"/>
      <c r="B341" s="2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3.2" x14ac:dyDescent="0.25">
      <c r="A342" s="22"/>
      <c r="B342" s="2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3.2" x14ac:dyDescent="0.25">
      <c r="A343" s="22"/>
      <c r="B343" s="2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3.2" x14ac:dyDescent="0.25">
      <c r="A344" s="22"/>
      <c r="B344" s="2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3.2" x14ac:dyDescent="0.25">
      <c r="A345" s="22"/>
      <c r="B345" s="2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3.2" x14ac:dyDescent="0.25">
      <c r="A346" s="22"/>
      <c r="B346" s="2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3.2" x14ac:dyDescent="0.25">
      <c r="A347" s="22"/>
      <c r="B347" s="2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3.2" x14ac:dyDescent="0.25">
      <c r="A348" s="22"/>
      <c r="B348" s="2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3.2" x14ac:dyDescent="0.25">
      <c r="A349" s="22"/>
      <c r="B349" s="2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3.2" x14ac:dyDescent="0.25">
      <c r="A350" s="22"/>
      <c r="B350" s="2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3.2" x14ac:dyDescent="0.25">
      <c r="A351" s="22"/>
      <c r="B351" s="2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3.2" x14ac:dyDescent="0.25">
      <c r="A352" s="22"/>
      <c r="B352" s="2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3.2" x14ac:dyDescent="0.25">
      <c r="A353" s="22"/>
      <c r="B353" s="2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3.2" x14ac:dyDescent="0.25">
      <c r="A354" s="22"/>
      <c r="B354" s="2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3.2" x14ac:dyDescent="0.25">
      <c r="A355" s="22"/>
      <c r="B355" s="2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3.2" x14ac:dyDescent="0.25">
      <c r="A356" s="22"/>
      <c r="B356" s="2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3.2" x14ac:dyDescent="0.25">
      <c r="A357" s="22"/>
      <c r="B357" s="2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3.2" x14ac:dyDescent="0.25">
      <c r="A358" s="22"/>
      <c r="B358" s="2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3.2" x14ac:dyDescent="0.25">
      <c r="A359" s="22"/>
      <c r="B359" s="2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3.2" x14ac:dyDescent="0.25">
      <c r="A360" s="22"/>
      <c r="B360" s="2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3.2" x14ac:dyDescent="0.25">
      <c r="A361" s="22"/>
      <c r="B361" s="2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3.2" x14ac:dyDescent="0.25">
      <c r="A362" s="22"/>
      <c r="B362" s="2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3.2" x14ac:dyDescent="0.25">
      <c r="A363" s="22"/>
      <c r="B363" s="2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3.2" x14ac:dyDescent="0.25">
      <c r="A364" s="22"/>
      <c r="B364" s="2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3.2" x14ac:dyDescent="0.25">
      <c r="A365" s="22"/>
      <c r="B365" s="2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3.2" x14ac:dyDescent="0.25">
      <c r="A366" s="22"/>
      <c r="B366" s="2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3.2" x14ac:dyDescent="0.25">
      <c r="A367" s="22"/>
      <c r="B367" s="2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3.2" x14ac:dyDescent="0.25">
      <c r="A368" s="22"/>
      <c r="B368" s="2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3.2" x14ac:dyDescent="0.25">
      <c r="A369" s="22"/>
      <c r="B369" s="2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3.2" x14ac:dyDescent="0.25">
      <c r="A370" s="22"/>
      <c r="B370" s="2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3.2" x14ac:dyDescent="0.25">
      <c r="A371" s="22"/>
      <c r="B371" s="2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3.2" x14ac:dyDescent="0.25">
      <c r="A372" s="22"/>
      <c r="B372" s="2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3.2" x14ac:dyDescent="0.25">
      <c r="A373" s="22"/>
      <c r="B373" s="2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3.2" x14ac:dyDescent="0.25">
      <c r="A374" s="22"/>
      <c r="B374" s="2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3.2" x14ac:dyDescent="0.25">
      <c r="A375" s="22"/>
      <c r="B375" s="2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3.2" x14ac:dyDescent="0.25">
      <c r="A376" s="22"/>
      <c r="B376" s="2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3.2" x14ac:dyDescent="0.25">
      <c r="A377" s="22"/>
      <c r="B377" s="2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3.2" x14ac:dyDescent="0.25">
      <c r="A378" s="22"/>
      <c r="B378" s="2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3.2" x14ac:dyDescent="0.25">
      <c r="A379" s="22"/>
      <c r="B379" s="2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3.2" x14ac:dyDescent="0.25">
      <c r="A380" s="22"/>
      <c r="B380" s="2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3.2" x14ac:dyDescent="0.25">
      <c r="A381" s="22"/>
      <c r="B381" s="2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3.2" x14ac:dyDescent="0.25">
      <c r="A382" s="22"/>
      <c r="B382" s="2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3.2" x14ac:dyDescent="0.25">
      <c r="A383" s="22"/>
      <c r="B383" s="2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3.2" x14ac:dyDescent="0.25">
      <c r="A384" s="22"/>
      <c r="B384" s="2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3.2" x14ac:dyDescent="0.25">
      <c r="A385" s="22"/>
      <c r="B385" s="2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3.2" x14ac:dyDescent="0.25">
      <c r="A386" s="22"/>
      <c r="B386" s="2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3.2" x14ac:dyDescent="0.25">
      <c r="A387" s="22"/>
      <c r="B387" s="2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3.2" x14ac:dyDescent="0.25">
      <c r="A388" s="22"/>
      <c r="B388" s="2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3.2" x14ac:dyDescent="0.25">
      <c r="A389" s="22"/>
      <c r="B389" s="2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3.2" x14ac:dyDescent="0.25">
      <c r="A390" s="22"/>
      <c r="B390" s="2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3.2" x14ac:dyDescent="0.25">
      <c r="A391" s="22"/>
      <c r="B391" s="2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3.2" x14ac:dyDescent="0.25">
      <c r="A392" s="22"/>
      <c r="B392" s="2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3.2" x14ac:dyDescent="0.25">
      <c r="A393" s="22"/>
      <c r="B393" s="2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3.2" x14ac:dyDescent="0.25">
      <c r="A394" s="22"/>
      <c r="B394" s="2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3.2" x14ac:dyDescent="0.25">
      <c r="A395" s="22"/>
      <c r="B395" s="2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3.2" x14ac:dyDescent="0.25">
      <c r="A396" s="22"/>
      <c r="B396" s="2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3.2" x14ac:dyDescent="0.25">
      <c r="A397" s="22"/>
      <c r="B397" s="2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3.2" x14ac:dyDescent="0.25">
      <c r="A398" s="22"/>
      <c r="B398" s="2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3.2" x14ac:dyDescent="0.25">
      <c r="A399" s="22"/>
      <c r="B399" s="2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3.2" x14ac:dyDescent="0.25">
      <c r="A400" s="22"/>
      <c r="B400" s="2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3.2" x14ac:dyDescent="0.25">
      <c r="A401" s="22"/>
      <c r="B401" s="2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3.2" x14ac:dyDescent="0.25">
      <c r="A402" s="22"/>
      <c r="B402" s="2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3.2" x14ac:dyDescent="0.25">
      <c r="A403" s="22"/>
      <c r="B403" s="2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3.2" x14ac:dyDescent="0.25">
      <c r="A404" s="22"/>
      <c r="B404" s="2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3.2" x14ac:dyDescent="0.25">
      <c r="A405" s="22"/>
      <c r="B405" s="2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3.2" x14ac:dyDescent="0.25">
      <c r="A406" s="22"/>
      <c r="B406" s="2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3.2" x14ac:dyDescent="0.25">
      <c r="A407" s="22"/>
      <c r="B407" s="2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3.2" x14ac:dyDescent="0.25">
      <c r="A408" s="22"/>
      <c r="B408" s="2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3.2" x14ac:dyDescent="0.25">
      <c r="A409" s="22"/>
      <c r="B409" s="2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3.2" x14ac:dyDescent="0.25">
      <c r="A410" s="22"/>
      <c r="B410" s="2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3.2" x14ac:dyDescent="0.25">
      <c r="A411" s="22"/>
      <c r="B411" s="2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3.2" x14ac:dyDescent="0.25">
      <c r="A412" s="22"/>
      <c r="B412" s="2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3.2" x14ac:dyDescent="0.25">
      <c r="A413" s="22"/>
      <c r="B413" s="2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3.2" x14ac:dyDescent="0.25">
      <c r="A414" s="22"/>
      <c r="B414" s="2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3.2" x14ac:dyDescent="0.25">
      <c r="A415" s="22"/>
      <c r="B415" s="2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3.2" x14ac:dyDescent="0.25">
      <c r="A416" s="22"/>
      <c r="B416" s="2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3.2" x14ac:dyDescent="0.25">
      <c r="A417" s="22"/>
      <c r="B417" s="2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3.2" x14ac:dyDescent="0.25">
      <c r="A418" s="22"/>
      <c r="B418" s="2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3.2" x14ac:dyDescent="0.25">
      <c r="A419" s="22"/>
      <c r="B419" s="2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3.2" x14ac:dyDescent="0.25">
      <c r="A420" s="22"/>
      <c r="B420" s="2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3.2" x14ac:dyDescent="0.25">
      <c r="A421" s="22"/>
      <c r="B421" s="2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3.2" x14ac:dyDescent="0.25">
      <c r="A422" s="22"/>
      <c r="B422" s="2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3.2" x14ac:dyDescent="0.25">
      <c r="A423" s="22"/>
      <c r="B423" s="2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3.2" x14ac:dyDescent="0.25">
      <c r="A424" s="22"/>
      <c r="B424" s="2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3.2" x14ac:dyDescent="0.25">
      <c r="A425" s="22"/>
      <c r="B425" s="2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3.2" x14ac:dyDescent="0.25">
      <c r="A426" s="22"/>
      <c r="B426" s="2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3.2" x14ac:dyDescent="0.25">
      <c r="A427" s="22"/>
      <c r="B427" s="2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3.2" x14ac:dyDescent="0.25">
      <c r="A428" s="22"/>
      <c r="B428" s="2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3.2" x14ac:dyDescent="0.25">
      <c r="A429" s="22"/>
      <c r="B429" s="2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3.2" x14ac:dyDescent="0.25">
      <c r="A430" s="22"/>
      <c r="B430" s="2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3.2" x14ac:dyDescent="0.25">
      <c r="A431" s="22"/>
      <c r="B431" s="2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3.2" x14ac:dyDescent="0.25">
      <c r="A432" s="22"/>
      <c r="B432" s="2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3.2" x14ac:dyDescent="0.25">
      <c r="A433" s="22"/>
      <c r="B433" s="2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3.2" x14ac:dyDescent="0.25">
      <c r="A434" s="22"/>
      <c r="B434" s="2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3.2" x14ac:dyDescent="0.25">
      <c r="A435" s="22"/>
      <c r="B435" s="2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3.2" x14ac:dyDescent="0.25">
      <c r="A436" s="22"/>
      <c r="B436" s="2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3.2" x14ac:dyDescent="0.25">
      <c r="A437" s="22"/>
      <c r="B437" s="2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3.2" x14ac:dyDescent="0.25">
      <c r="A438" s="22"/>
      <c r="B438" s="2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3.2" x14ac:dyDescent="0.25">
      <c r="A439" s="22"/>
      <c r="B439" s="2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3.2" x14ac:dyDescent="0.25">
      <c r="A440" s="22"/>
      <c r="B440" s="2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3.2" x14ac:dyDescent="0.25">
      <c r="A441" s="22"/>
      <c r="B441" s="2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3.2" x14ac:dyDescent="0.25">
      <c r="A442" s="22"/>
      <c r="B442" s="2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3.2" x14ac:dyDescent="0.25">
      <c r="A443" s="22"/>
      <c r="B443" s="2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3.2" x14ac:dyDescent="0.25">
      <c r="A444" s="22"/>
      <c r="B444" s="2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3.2" x14ac:dyDescent="0.25">
      <c r="A445" s="22"/>
      <c r="B445" s="2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3.2" x14ac:dyDescent="0.25">
      <c r="A446" s="22"/>
      <c r="B446" s="2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3.2" x14ac:dyDescent="0.25">
      <c r="A447" s="22"/>
      <c r="B447" s="2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3.2" x14ac:dyDescent="0.25">
      <c r="A448" s="22"/>
      <c r="B448" s="2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3.2" x14ac:dyDescent="0.25">
      <c r="A449" s="22"/>
      <c r="B449" s="2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3.2" x14ac:dyDescent="0.25">
      <c r="A450" s="22"/>
      <c r="B450" s="2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3.2" x14ac:dyDescent="0.25">
      <c r="A451" s="22"/>
      <c r="B451" s="2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3.2" x14ac:dyDescent="0.25">
      <c r="A452" s="22"/>
      <c r="B452" s="2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3.2" x14ac:dyDescent="0.25">
      <c r="A453" s="22"/>
      <c r="B453" s="2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3.2" x14ac:dyDescent="0.25">
      <c r="A454" s="22"/>
      <c r="B454" s="2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3.2" x14ac:dyDescent="0.25">
      <c r="A455" s="22"/>
      <c r="B455" s="2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3.2" x14ac:dyDescent="0.25">
      <c r="A456" s="22"/>
      <c r="B456" s="2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3.2" x14ac:dyDescent="0.25">
      <c r="A457" s="22"/>
      <c r="B457" s="2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3.2" x14ac:dyDescent="0.25">
      <c r="A458" s="22"/>
      <c r="B458" s="2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3.2" x14ac:dyDescent="0.25">
      <c r="A459" s="22"/>
      <c r="B459" s="2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3.2" x14ac:dyDescent="0.25">
      <c r="A460" s="22"/>
      <c r="B460" s="2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3.2" x14ac:dyDescent="0.25">
      <c r="A461" s="22"/>
      <c r="B461" s="2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3.2" x14ac:dyDescent="0.25">
      <c r="A462" s="22"/>
      <c r="B462" s="2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3.2" x14ac:dyDescent="0.25">
      <c r="A463" s="22"/>
      <c r="B463" s="2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3.2" x14ac:dyDescent="0.25">
      <c r="A464" s="22"/>
      <c r="B464" s="2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3.2" x14ac:dyDescent="0.25">
      <c r="A465" s="22"/>
      <c r="B465" s="2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3.2" x14ac:dyDescent="0.25">
      <c r="A466" s="22"/>
      <c r="B466" s="2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3.2" x14ac:dyDescent="0.25">
      <c r="A467" s="22"/>
      <c r="B467" s="2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3.2" x14ac:dyDescent="0.25">
      <c r="A468" s="22"/>
      <c r="B468" s="2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3.2" x14ac:dyDescent="0.25">
      <c r="A469" s="22"/>
      <c r="B469" s="2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3.2" x14ac:dyDescent="0.25">
      <c r="A470" s="22"/>
      <c r="B470" s="2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3.2" x14ac:dyDescent="0.25">
      <c r="A471" s="22"/>
      <c r="B471" s="2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3.2" x14ac:dyDescent="0.25">
      <c r="A472" s="22"/>
      <c r="B472" s="2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3.2" x14ac:dyDescent="0.25">
      <c r="A473" s="22"/>
      <c r="B473" s="2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3.2" x14ac:dyDescent="0.25">
      <c r="A474" s="22"/>
      <c r="B474" s="2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3.2" x14ac:dyDescent="0.25">
      <c r="A475" s="22"/>
      <c r="B475" s="2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3.2" x14ac:dyDescent="0.25">
      <c r="A476" s="22"/>
      <c r="B476" s="2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3.2" x14ac:dyDescent="0.25">
      <c r="A477" s="22"/>
      <c r="B477" s="2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3.2" x14ac:dyDescent="0.25">
      <c r="A478" s="22"/>
      <c r="B478" s="2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3.2" x14ac:dyDescent="0.25">
      <c r="A479" s="22"/>
      <c r="B479" s="2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3.2" x14ac:dyDescent="0.25">
      <c r="A480" s="22"/>
      <c r="B480" s="2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3.2" x14ac:dyDescent="0.25">
      <c r="A481" s="22"/>
      <c r="B481" s="2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3.2" x14ac:dyDescent="0.25">
      <c r="A482" s="22"/>
      <c r="B482" s="2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3.2" x14ac:dyDescent="0.25">
      <c r="A483" s="22"/>
      <c r="B483" s="2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3.2" x14ac:dyDescent="0.25">
      <c r="A484" s="22"/>
      <c r="B484" s="2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3.2" x14ac:dyDescent="0.25">
      <c r="A485" s="22"/>
      <c r="B485" s="2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3.2" x14ac:dyDescent="0.25">
      <c r="A486" s="22"/>
      <c r="B486" s="2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3.2" x14ac:dyDescent="0.25">
      <c r="A487" s="22"/>
      <c r="B487" s="2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3.2" x14ac:dyDescent="0.25">
      <c r="A488" s="22"/>
      <c r="B488" s="2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3.2" x14ac:dyDescent="0.25">
      <c r="A489" s="22"/>
      <c r="B489" s="2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3.2" x14ac:dyDescent="0.25">
      <c r="A490" s="22"/>
      <c r="B490" s="2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3.2" x14ac:dyDescent="0.25">
      <c r="A491" s="22"/>
      <c r="B491" s="2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3.2" x14ac:dyDescent="0.25">
      <c r="A492" s="22"/>
      <c r="B492" s="2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3.2" x14ac:dyDescent="0.25">
      <c r="A493" s="22"/>
      <c r="B493" s="2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3.2" x14ac:dyDescent="0.25">
      <c r="A494" s="22"/>
      <c r="B494" s="2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3.2" x14ac:dyDescent="0.25">
      <c r="A495" s="22"/>
      <c r="B495" s="2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3.2" x14ac:dyDescent="0.25">
      <c r="A496" s="22"/>
      <c r="B496" s="2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3.2" x14ac:dyDescent="0.25">
      <c r="A497" s="22"/>
      <c r="B497" s="2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3.2" x14ac:dyDescent="0.25">
      <c r="A498" s="22"/>
      <c r="B498" s="2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3.2" x14ac:dyDescent="0.25">
      <c r="A499" s="22"/>
      <c r="B499" s="2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3.2" x14ac:dyDescent="0.25">
      <c r="A500" s="22"/>
      <c r="B500" s="2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3.2" x14ac:dyDescent="0.25">
      <c r="A501" s="22"/>
      <c r="B501" s="2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3.2" x14ac:dyDescent="0.25">
      <c r="A502" s="22"/>
      <c r="B502" s="2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3.2" x14ac:dyDescent="0.25">
      <c r="A503" s="22"/>
      <c r="B503" s="2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3.2" x14ac:dyDescent="0.25">
      <c r="A504" s="22"/>
      <c r="B504" s="2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3.2" x14ac:dyDescent="0.25">
      <c r="A505" s="22"/>
      <c r="B505" s="2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3.2" x14ac:dyDescent="0.25">
      <c r="A506" s="22"/>
      <c r="B506" s="2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3.2" x14ac:dyDescent="0.25">
      <c r="A507" s="22"/>
      <c r="B507" s="2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3.2" x14ac:dyDescent="0.25">
      <c r="A508" s="22"/>
      <c r="B508" s="2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3.2" x14ac:dyDescent="0.25">
      <c r="A509" s="22"/>
      <c r="B509" s="2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3.2" x14ac:dyDescent="0.25">
      <c r="A510" s="22"/>
      <c r="B510" s="2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3.2" x14ac:dyDescent="0.25">
      <c r="A511" s="22"/>
      <c r="B511" s="2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3.2" x14ac:dyDescent="0.25">
      <c r="A512" s="22"/>
      <c r="B512" s="2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3.2" x14ac:dyDescent="0.25">
      <c r="A513" s="22"/>
      <c r="B513" s="2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3.2" x14ac:dyDescent="0.25">
      <c r="A514" s="22"/>
      <c r="B514" s="2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3.2" x14ac:dyDescent="0.25">
      <c r="A515" s="22"/>
      <c r="B515" s="2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3.2" x14ac:dyDescent="0.25">
      <c r="A516" s="22"/>
      <c r="B516" s="2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3.2" x14ac:dyDescent="0.25">
      <c r="A517" s="22"/>
      <c r="B517" s="2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3.2" x14ac:dyDescent="0.25">
      <c r="A518" s="22"/>
      <c r="B518" s="2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3.2" x14ac:dyDescent="0.25">
      <c r="A519" s="22"/>
      <c r="B519" s="2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3.2" x14ac:dyDescent="0.25">
      <c r="A520" s="22"/>
      <c r="B520" s="2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3.2" x14ac:dyDescent="0.25">
      <c r="A521" s="22"/>
      <c r="B521" s="2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3.2" x14ac:dyDescent="0.25">
      <c r="A522" s="22"/>
      <c r="B522" s="2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3.2" x14ac:dyDescent="0.25">
      <c r="A523" s="22"/>
      <c r="B523" s="2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3.2" x14ac:dyDescent="0.25">
      <c r="A524" s="22"/>
      <c r="B524" s="2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3.2" x14ac:dyDescent="0.25">
      <c r="A525" s="22"/>
      <c r="B525" s="2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3.2" x14ac:dyDescent="0.25">
      <c r="A526" s="22"/>
      <c r="B526" s="2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3.2" x14ac:dyDescent="0.25">
      <c r="A527" s="22"/>
      <c r="B527" s="2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3.2" x14ac:dyDescent="0.25">
      <c r="A528" s="22"/>
      <c r="B528" s="2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3.2" x14ac:dyDescent="0.25">
      <c r="A529" s="22"/>
      <c r="B529" s="2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3.2" x14ac:dyDescent="0.25">
      <c r="A530" s="22"/>
      <c r="B530" s="2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3.2" x14ac:dyDescent="0.25">
      <c r="A531" s="22"/>
      <c r="B531" s="2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3.2" x14ac:dyDescent="0.25">
      <c r="A532" s="22"/>
      <c r="B532" s="2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3.2" x14ac:dyDescent="0.25">
      <c r="A533" s="22"/>
      <c r="B533" s="2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3.2" x14ac:dyDescent="0.25">
      <c r="A534" s="22"/>
      <c r="B534" s="2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3.2" x14ac:dyDescent="0.25">
      <c r="A535" s="22"/>
      <c r="B535" s="2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3.2" x14ac:dyDescent="0.25">
      <c r="A536" s="22"/>
      <c r="B536" s="2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3.2" x14ac:dyDescent="0.25">
      <c r="A537" s="22"/>
      <c r="B537" s="2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3.2" x14ac:dyDescent="0.25">
      <c r="A538" s="22"/>
      <c r="B538" s="2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3.2" x14ac:dyDescent="0.25">
      <c r="A539" s="22"/>
      <c r="B539" s="2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3.2" x14ac:dyDescent="0.25">
      <c r="A540" s="22"/>
      <c r="B540" s="2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3.2" x14ac:dyDescent="0.25">
      <c r="A541" s="22"/>
      <c r="B541" s="2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3.2" x14ac:dyDescent="0.25">
      <c r="A542" s="22"/>
      <c r="B542" s="2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3.2" x14ac:dyDescent="0.25">
      <c r="A543" s="22"/>
      <c r="B543" s="2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3.2" x14ac:dyDescent="0.25">
      <c r="A544" s="22"/>
      <c r="B544" s="2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3.2" x14ac:dyDescent="0.25">
      <c r="A545" s="22"/>
      <c r="B545" s="2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3.2" x14ac:dyDescent="0.25">
      <c r="A546" s="22"/>
      <c r="B546" s="2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3.2" x14ac:dyDescent="0.25">
      <c r="A547" s="22"/>
      <c r="B547" s="2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3.2" x14ac:dyDescent="0.25">
      <c r="A548" s="22"/>
      <c r="B548" s="2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3.2" x14ac:dyDescent="0.25">
      <c r="A549" s="22"/>
      <c r="B549" s="2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3.2" x14ac:dyDescent="0.25">
      <c r="A550" s="22"/>
      <c r="B550" s="2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3.2" x14ac:dyDescent="0.25">
      <c r="A551" s="22"/>
      <c r="B551" s="2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3.2" x14ac:dyDescent="0.25">
      <c r="A552" s="22"/>
      <c r="B552" s="2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3.2" x14ac:dyDescent="0.25">
      <c r="A553" s="22"/>
      <c r="B553" s="2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3.2" x14ac:dyDescent="0.25">
      <c r="A554" s="22"/>
      <c r="B554" s="2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3.2" x14ac:dyDescent="0.25">
      <c r="A555" s="22"/>
      <c r="B555" s="2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3.2" x14ac:dyDescent="0.25">
      <c r="A556" s="22"/>
      <c r="B556" s="2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3.2" x14ac:dyDescent="0.25">
      <c r="A557" s="22"/>
      <c r="B557" s="2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3.2" x14ac:dyDescent="0.25">
      <c r="A558" s="22"/>
      <c r="B558" s="2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3.2" x14ac:dyDescent="0.25">
      <c r="A559" s="22"/>
      <c r="B559" s="2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3.2" x14ac:dyDescent="0.25">
      <c r="A560" s="22"/>
      <c r="B560" s="2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3.2" x14ac:dyDescent="0.25">
      <c r="A561" s="22"/>
      <c r="B561" s="2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3.2" x14ac:dyDescent="0.25">
      <c r="A562" s="22"/>
      <c r="B562" s="2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3.2" x14ac:dyDescent="0.25">
      <c r="A563" s="22"/>
      <c r="B563" s="2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3.2" x14ac:dyDescent="0.25">
      <c r="A564" s="22"/>
      <c r="B564" s="2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3.2" x14ac:dyDescent="0.25">
      <c r="A565" s="22"/>
      <c r="B565" s="2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3.2" x14ac:dyDescent="0.25">
      <c r="A566" s="22"/>
      <c r="B566" s="2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3.2" x14ac:dyDescent="0.25">
      <c r="A567" s="22"/>
      <c r="B567" s="2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3.2" x14ac:dyDescent="0.25">
      <c r="A568" s="22"/>
      <c r="B568" s="2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3.2" x14ac:dyDescent="0.25">
      <c r="A569" s="22"/>
      <c r="B569" s="2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3.2" x14ac:dyDescent="0.25">
      <c r="A570" s="22"/>
      <c r="B570" s="2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3.2" x14ac:dyDescent="0.25">
      <c r="A571" s="22"/>
      <c r="B571" s="2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3.2" x14ac:dyDescent="0.25">
      <c r="A572" s="22"/>
      <c r="B572" s="2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3.2" x14ac:dyDescent="0.25">
      <c r="A573" s="22"/>
      <c r="B573" s="2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3.2" x14ac:dyDescent="0.25">
      <c r="A574" s="22"/>
      <c r="B574" s="2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3.2" x14ac:dyDescent="0.25">
      <c r="A575" s="22"/>
      <c r="B575" s="2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3.2" x14ac:dyDescent="0.25">
      <c r="A576" s="22"/>
      <c r="B576" s="2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3.2" x14ac:dyDescent="0.25">
      <c r="A577" s="22"/>
      <c r="B577" s="2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3.2" x14ac:dyDescent="0.25">
      <c r="A578" s="22"/>
      <c r="B578" s="2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3.2" x14ac:dyDescent="0.25">
      <c r="A579" s="22"/>
      <c r="B579" s="2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3.2" x14ac:dyDescent="0.25">
      <c r="A580" s="22"/>
      <c r="B580" s="2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3.2" x14ac:dyDescent="0.25">
      <c r="A581" s="22"/>
      <c r="B581" s="2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3.2" x14ac:dyDescent="0.25">
      <c r="A582" s="22"/>
      <c r="B582" s="2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3.2" x14ac:dyDescent="0.25">
      <c r="A583" s="22"/>
      <c r="B583" s="2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3.2" x14ac:dyDescent="0.25">
      <c r="A584" s="22"/>
      <c r="B584" s="2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3.2" x14ac:dyDescent="0.25">
      <c r="A585" s="22"/>
      <c r="B585" s="2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3.2" x14ac:dyDescent="0.25">
      <c r="A586" s="22"/>
      <c r="B586" s="2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3.2" x14ac:dyDescent="0.25">
      <c r="A587" s="22"/>
      <c r="B587" s="2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3.2" x14ac:dyDescent="0.25">
      <c r="A588" s="22"/>
      <c r="B588" s="2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3.2" x14ac:dyDescent="0.25">
      <c r="A589" s="22"/>
      <c r="B589" s="2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3.2" x14ac:dyDescent="0.25">
      <c r="A590" s="22"/>
      <c r="B590" s="2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3.2" x14ac:dyDescent="0.25">
      <c r="A591" s="22"/>
      <c r="B591" s="2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3.2" x14ac:dyDescent="0.25">
      <c r="A592" s="22"/>
      <c r="B592" s="2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3.2" x14ac:dyDescent="0.25">
      <c r="A593" s="22"/>
      <c r="B593" s="2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3.2" x14ac:dyDescent="0.25">
      <c r="A594" s="22"/>
      <c r="B594" s="2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3.2" x14ac:dyDescent="0.25">
      <c r="A595" s="22"/>
      <c r="B595" s="2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3.2" x14ac:dyDescent="0.25">
      <c r="A596" s="22"/>
      <c r="B596" s="2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3.2" x14ac:dyDescent="0.25">
      <c r="A597" s="22"/>
      <c r="B597" s="2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3.2" x14ac:dyDescent="0.25">
      <c r="A598" s="22"/>
      <c r="B598" s="2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3.2" x14ac:dyDescent="0.25">
      <c r="A599" s="22"/>
      <c r="B599" s="2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3.2" x14ac:dyDescent="0.25">
      <c r="A600" s="22"/>
      <c r="B600" s="2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3.2" x14ac:dyDescent="0.25">
      <c r="A601" s="22"/>
      <c r="B601" s="2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3.2" x14ac:dyDescent="0.25">
      <c r="A602" s="22"/>
      <c r="B602" s="2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3.2" x14ac:dyDescent="0.25">
      <c r="A603" s="22"/>
      <c r="B603" s="2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3.2" x14ac:dyDescent="0.25">
      <c r="A604" s="22"/>
      <c r="B604" s="2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3.2" x14ac:dyDescent="0.25">
      <c r="A605" s="22"/>
      <c r="B605" s="2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3.2" x14ac:dyDescent="0.25">
      <c r="A606" s="22"/>
      <c r="B606" s="2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3.2" x14ac:dyDescent="0.25">
      <c r="A607" s="22"/>
      <c r="B607" s="2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3.2" x14ac:dyDescent="0.25">
      <c r="A608" s="22"/>
      <c r="B608" s="2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3.2" x14ac:dyDescent="0.25">
      <c r="A609" s="22"/>
      <c r="B609" s="2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3.2" x14ac:dyDescent="0.25">
      <c r="A610" s="22"/>
      <c r="B610" s="2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3.2" x14ac:dyDescent="0.25">
      <c r="A611" s="22"/>
      <c r="B611" s="2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3.2" x14ac:dyDescent="0.25">
      <c r="A612" s="22"/>
      <c r="B612" s="2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3.2" x14ac:dyDescent="0.25">
      <c r="A613" s="22"/>
      <c r="B613" s="2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3.2" x14ac:dyDescent="0.25">
      <c r="A614" s="22"/>
      <c r="B614" s="2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3.2" x14ac:dyDescent="0.25">
      <c r="A615" s="22"/>
      <c r="B615" s="2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3.2" x14ac:dyDescent="0.25">
      <c r="A616" s="22"/>
      <c r="B616" s="2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3.2" x14ac:dyDescent="0.25">
      <c r="A617" s="22"/>
      <c r="B617" s="2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3.2" x14ac:dyDescent="0.25">
      <c r="A618" s="22"/>
      <c r="B618" s="2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3.2" x14ac:dyDescent="0.25">
      <c r="A619" s="22"/>
      <c r="B619" s="2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3.2" x14ac:dyDescent="0.25">
      <c r="A620" s="22"/>
      <c r="B620" s="2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3.2" x14ac:dyDescent="0.25">
      <c r="A621" s="22"/>
      <c r="B621" s="2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3.2" x14ac:dyDescent="0.25">
      <c r="A622" s="22"/>
      <c r="B622" s="2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3.2" x14ac:dyDescent="0.25">
      <c r="A623" s="22"/>
      <c r="B623" s="2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3.2" x14ac:dyDescent="0.25">
      <c r="A624" s="22"/>
      <c r="B624" s="2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3.2" x14ac:dyDescent="0.25">
      <c r="A625" s="22"/>
      <c r="B625" s="2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3.2" x14ac:dyDescent="0.25">
      <c r="A626" s="22"/>
      <c r="B626" s="2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3.2" x14ac:dyDescent="0.25">
      <c r="A627" s="22"/>
      <c r="B627" s="2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3.2" x14ac:dyDescent="0.25">
      <c r="A628" s="22"/>
      <c r="B628" s="2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3.2" x14ac:dyDescent="0.25">
      <c r="A629" s="22"/>
      <c r="B629" s="2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3.2" x14ac:dyDescent="0.25">
      <c r="A630" s="22"/>
      <c r="B630" s="2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3.2" x14ac:dyDescent="0.25">
      <c r="A631" s="22"/>
      <c r="B631" s="2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</sheetData>
  <mergeCells count="34">
    <mergeCell ref="A38:A41"/>
    <mergeCell ref="A31:A36"/>
    <mergeCell ref="A9:A12"/>
    <mergeCell ref="A13:A16"/>
    <mergeCell ref="A17:A20"/>
    <mergeCell ref="A21:A24"/>
    <mergeCell ref="A25:A30"/>
    <mergeCell ref="A1:B1"/>
    <mergeCell ref="E1:G1"/>
    <mergeCell ref="A2:B3"/>
    <mergeCell ref="C2:G2"/>
    <mergeCell ref="H2:K2"/>
    <mergeCell ref="L2:M2"/>
    <mergeCell ref="A5:A8"/>
    <mergeCell ref="A113:A116"/>
    <mergeCell ref="A117:A119"/>
    <mergeCell ref="A120:A125"/>
    <mergeCell ref="A126:A131"/>
    <mergeCell ref="A42:A45"/>
    <mergeCell ref="A46:A49"/>
    <mergeCell ref="A50:A53"/>
    <mergeCell ref="A54:A57"/>
    <mergeCell ref="A58:A64"/>
    <mergeCell ref="A65:A71"/>
    <mergeCell ref="A73:A76"/>
    <mergeCell ref="A88:A90"/>
    <mergeCell ref="A84:A87"/>
    <mergeCell ref="A81:A83"/>
    <mergeCell ref="A77:A80"/>
    <mergeCell ref="A97:A102"/>
    <mergeCell ref="A91:A96"/>
    <mergeCell ref="A104:A106"/>
    <mergeCell ref="A107:A109"/>
    <mergeCell ref="A110:A112"/>
  </mergeCells>
  <conditionalFormatting sqref="C5:M631">
    <cfRule type="expression" dxfId="2" priority="1">
      <formula>$C$1=""</formula>
    </cfRule>
  </conditionalFormatting>
  <conditionalFormatting sqref="C5:M631">
    <cfRule type="expression" dxfId="1" priority="2">
      <formula>COUNTIF(C5,"*"&amp;$C$1&amp;"*")</formula>
    </cfRule>
  </conditionalFormatting>
  <conditionalFormatting sqref="C5:M631">
    <cfRule type="containsText" dxfId="0" priority="3" operator="containsText" text="(exam)">
      <formula>NOT(ISERROR(SEARCH(("(exam)"),(C5))))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FR_24.11-24.12.2025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 Curmanschii</cp:lastModifiedBy>
  <dcterms:modified xsi:type="dcterms:W3CDTF">2026-05-11T17:56:08Z</dcterms:modified>
</cp:coreProperties>
</file>